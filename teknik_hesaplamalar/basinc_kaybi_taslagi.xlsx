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arlar" sheetId="1" state="visible" r:id="rId1"/>
    <sheet name="Kanal Listesi" sheetId="2" state="visible" r:id="rId2"/>
    <sheet name="Sabitler" sheetId="3" state="hidden" r:id="rId3"/>
  </sheets>
  <definedNames>
    <definedName name="TipSecenekleri">Sabitler!$G$2:$G$5</definedName>
    <definedName name="rDSecenekleri">Sabitler!$H$2:$H$5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Parametre</t>
        </is>
      </c>
      <c r="B1" s="1" t="inlineStr">
        <is>
          <t>Deger</t>
        </is>
      </c>
    </row>
    <row r="2">
      <c r="A2" s="2" t="inlineStr">
        <is>
          <t>Hava Sicakligi (C)</t>
        </is>
      </c>
      <c r="B2" t="n">
        <v>20</v>
      </c>
    </row>
    <row r="3">
      <c r="A3" s="2" t="inlineStr">
        <is>
          <t>Rakim (m)</t>
        </is>
      </c>
      <c r="B3" t="n">
        <v>0</v>
      </c>
    </row>
    <row r="5">
      <c r="A5" s="2" t="inlineStr">
        <is>
          <t>Not</t>
        </is>
      </c>
      <c r="B5" t="inlineStr">
        <is>
          <t>Kanal Listesi sayfasinda Tip alanina yalnizca Dirsek veya Kanal yazin.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6" customWidth="1" min="5" max="5"/>
    <col width="14" customWidth="1" min="6" max="6"/>
    <col width="22" customWidth="1" min="7" max="7"/>
    <col width="20" customWidth="1" min="8" max="8"/>
    <col width="18" customWidth="1" min="9" max="9"/>
    <col width="18" customWidth="1" min="10" max="10"/>
    <col width="22" customWidth="1" min="11" max="11"/>
    <col width="24" customWidth="1" min="12" max="12"/>
    <col width="22" customWidth="1" min="13" max="13"/>
    <col width="18" customWidth="1" min="14" max="14"/>
    <col width="22" customWidth="1" min="15" max="15"/>
    <col width="22" customWidth="1" min="16" max="16"/>
  </cols>
  <sheetData>
    <row r="1">
      <c r="A1" s="1" t="inlineStr">
        <is>
          <t>Tip</t>
        </is>
      </c>
      <c r="B1" s="1" t="inlineStr">
        <is>
          <t>Aci</t>
        </is>
      </c>
      <c r="C1" s="1" t="inlineStr">
        <is>
          <t>r/D</t>
        </is>
      </c>
      <c r="D1" s="1" t="inlineStr">
        <is>
          <t>Boru Capi (mm)</t>
        </is>
      </c>
      <c r="E1" s="1" t="inlineStr">
        <is>
          <t>Debi (m3/h)</t>
        </is>
      </c>
      <c r="F1" s="1" t="inlineStr">
        <is>
          <t>Dirsek Adedi</t>
        </is>
      </c>
      <c r="G1" s="1" t="inlineStr">
        <is>
          <t>Duz Kanal Uzunlugu (m)</t>
        </is>
      </c>
      <c r="H1" s="1" t="inlineStr">
        <is>
          <t>Hava Yogunlugu (kg/m3)</t>
        </is>
      </c>
      <c r="I1" s="1" t="inlineStr">
        <is>
          <t>Kesit Alani (m2)</t>
        </is>
      </c>
      <c r="J1" s="1" t="inlineStr">
        <is>
          <t>Tasima Hizi (m/sn)</t>
        </is>
      </c>
      <c r="K1" s="1" t="inlineStr">
        <is>
          <t>Dirsek Birim Kaybi (Pa)</t>
        </is>
      </c>
      <c r="L1" s="1" t="inlineStr">
        <is>
          <t>Duz Kanal Birim Kaybi (Pa/m)</t>
        </is>
      </c>
      <c r="M1" s="1" t="inlineStr">
        <is>
          <t>Jet-Cap Basinc Kaybi (Pa)</t>
        </is>
      </c>
      <c r="N1" s="1" t="inlineStr">
        <is>
          <t>Ekipman Tipi</t>
        </is>
      </c>
      <c r="O1" s="1" t="inlineStr">
        <is>
          <t>Ekipman Basinc Kaybi (Pa)</t>
        </is>
      </c>
      <c r="P1" s="1" t="inlineStr">
        <is>
          <t>Toplam Basinc Kaybi (Pa)</t>
        </is>
      </c>
    </row>
    <row r="2">
      <c r="A2" t="inlineStr">
        <is>
          <t>Dirsek</t>
        </is>
      </c>
      <c r="B2" t="n">
        <v>90</v>
      </c>
      <c r="C2" t="inlineStr">
        <is>
          <t>1,5</t>
        </is>
      </c>
      <c r="D2" t="n">
        <v>250</v>
      </c>
      <c r="E2" t="n">
        <v>4500</v>
      </c>
      <c r="F2" t="n">
        <v>3</v>
      </c>
      <c r="G2" t="n">
        <v>0</v>
      </c>
      <c r="H2">
        <f>(101325*EXP(-Ayarlar!$B$3/8434))/((Ayarlar!$B$2+273.15)*287.05)</f>
        <v/>
      </c>
      <c r="I2">
        <f>IF(D2&gt;0,PI()*((D2/1000)^2)/4,0)</f>
        <v/>
      </c>
      <c r="J2">
        <f>IF(AND(I2&gt;0,E2&gt;0),E2/I2/3600,0)</f>
        <v/>
      </c>
      <c r="K2">
        <f>IF(UPPER(A2)="DIRSEK",(H2*J2*J2/2)*IFERROR(INDEX(Sabitler!$B$2:$E$11,MATCH(B2,Sabitler!$A$2:$A$11,0),MATCH(C2,Sabitler!$B$1:$E$1,0)),0),0)</f>
        <v/>
      </c>
      <c r="L2">
        <f>IF(UPPER(A2)="KANAL",IF(AND(D2&gt;0,J2&gt;0),(((1000*((0.85*(0.11*(((0.03/D2)+(68/(66.4*D2*J2)))^0.25)))+0.0028))/D2)*(H2*J2*J2/2)*1.15)*1.18,0),0)</f>
        <v/>
      </c>
      <c r="M2">
        <f>IF(UPPER(A2)="JET-CAP",2.0*(1.2*J2*J2/2),0)</f>
        <v/>
      </c>
      <c r="P2">
        <f>IF(UPPER(A2)="DIRSEK",K2*MAX(F2,1),IF(UPPER(A2)="KANAL",L2*MAX(G2,0),IF(UPPER(A2)="JET-CAP",M2,IF(UPPER(A2)="EKIPMAN",O2,0))))</f>
        <v/>
      </c>
    </row>
    <row r="3">
      <c r="A3" t="inlineStr">
        <is>
          <t>Kanal</t>
        </is>
      </c>
      <c r="B3" t="n">
        <v>90</v>
      </c>
      <c r="C3" t="inlineStr">
        <is>
          <t>1,5</t>
        </is>
      </c>
      <c r="D3" t="n">
        <v>250</v>
      </c>
      <c r="E3" t="n">
        <v>4500</v>
      </c>
      <c r="F3" t="n">
        <v>0</v>
      </c>
      <c r="G3" t="n">
        <v>12</v>
      </c>
      <c r="H3">
        <f>(101325*EXP(-Ayarlar!$B$3/8434))/((Ayarlar!$B$2+273.15)*287.05)</f>
        <v/>
      </c>
      <c r="I3">
        <f>IF(D3&gt;0,PI()*((D3/1000)^2)/4,0)</f>
        <v/>
      </c>
      <c r="J3">
        <f>IF(AND(I3&gt;0,E3&gt;0),E3/I3/3600,0)</f>
        <v/>
      </c>
      <c r="K3">
        <f>IF(UPPER(A3)="DIRSEK",(H3*J3*J3/2)*IFERROR(INDEX(Sabitler!$B$2:$E$11,MATCH(B3,Sabitler!$A$2:$A$11,0),MATCH(C3,Sabitler!$B$1:$E$1,0)),0),0)</f>
        <v/>
      </c>
      <c r="L3">
        <f>IF(UPPER(A3)="KANAL",IF(AND(D3&gt;0,J3&gt;0),(((1000*((0.85*(0.11*(((0.03/D3)+(68/(66.4*D3*J3)))^0.25)))+0.0028))/D3)*(H3*J3*J3/2)*1.15)*1.18,0),0)</f>
        <v/>
      </c>
      <c r="M3">
        <f>IF(UPPER(A3)="JET-CAP",2.0*(1.2*J3*J3/2),0)</f>
        <v/>
      </c>
      <c r="P3">
        <f>IF(UPPER(A3)="DIRSEK",K3*MAX(F3,1),IF(UPPER(A3)="KANAL",L3*MAX(G3,0),IF(UPPER(A3)="JET-CAP",M3,IF(UPPER(A3)="EKIPMAN",O3,0))))</f>
        <v/>
      </c>
    </row>
    <row r="4">
      <c r="A4" t="inlineStr">
        <is>
          <t>Jet-Cap</t>
        </is>
      </c>
      <c r="B4" t="n">
        <v>90</v>
      </c>
      <c r="C4" t="inlineStr">
        <is>
          <t>1,5</t>
        </is>
      </c>
      <c r="D4" t="n">
        <v>250</v>
      </c>
      <c r="E4" t="n">
        <v>4500</v>
      </c>
      <c r="F4" t="n">
        <v>0</v>
      </c>
      <c r="G4" t="n">
        <v>0</v>
      </c>
      <c r="H4">
        <f>(101325*EXP(-Ayarlar!$B$3/8434))/((Ayarlar!$B$2+273.15)*287.05)</f>
        <v/>
      </c>
      <c r="I4">
        <f>IF(D4&gt;0,PI()*((D4/1000)^2)/4,0)</f>
        <v/>
      </c>
      <c r="J4">
        <f>IF(AND(I4&gt;0,E4&gt;0),E4/I4/3600,0)</f>
        <v/>
      </c>
      <c r="K4">
        <f>IF(UPPER(A4)="DIRSEK",(H4*J4*J4/2)*IFERROR(INDEX(Sabitler!$B$2:$E$11,MATCH(B4,Sabitler!$A$2:$A$11,0),MATCH(C4,Sabitler!$B$1:$E$1,0)),0),0)</f>
        <v/>
      </c>
      <c r="L4">
        <f>IF(UPPER(A4)="KANAL",IF(AND(D4&gt;0,J4&gt;0),(((1000*((0.85*(0.11*(((0.03/D4)+(68/(66.4*D4*J4)))^0.25)))+0.0028))/D4)*(H4*J4*J4/2)*1.15)*1.18,0),0)</f>
        <v/>
      </c>
      <c r="M4">
        <f>IF(UPPER(A4)="JET-CAP",2.0*(1.2*J4*J4/2),0)</f>
        <v/>
      </c>
      <c r="P4">
        <f>IF(UPPER(A4)="DIRSEK",K4*MAX(F4,1),IF(UPPER(A4)="KANAL",L4*MAX(G4,0),IF(UPPER(A4)="JET-CAP",M4,IF(UPPER(A4)="EKIPMAN",O4,0))))</f>
        <v/>
      </c>
    </row>
    <row r="5">
      <c r="A5" t="inlineStr">
        <is>
          <t>Ekipman</t>
        </is>
      </c>
      <c r="H5">
        <f>(101325*EXP(-Ayarlar!$B$3/8434))/((Ayarlar!$B$2+273.15)*287.05)</f>
        <v/>
      </c>
      <c r="I5">
        <f>IF(D5&gt;0,PI()*((D5/1000)^2)/4,0)</f>
        <v/>
      </c>
      <c r="J5">
        <f>IF(AND(I5&gt;0,E5&gt;0),E5/I5/3600,0)</f>
        <v/>
      </c>
      <c r="K5">
        <f>IF(UPPER(A5)="DIRSEK",(H5*J5*J5/2)*IFERROR(INDEX(Sabitler!$B$2:$E$11,MATCH(B5,Sabitler!$A$2:$A$11,0),MATCH(C5,Sabitler!$B$1:$E$1,0)),0),0)</f>
        <v/>
      </c>
      <c r="L5">
        <f>IF(UPPER(A5)="KANAL",IF(AND(D5&gt;0,J5&gt;0),(((1000*((0.85*(0.11*(((0.03/D5)+(68/(66.4*D5*J5)))^0.25)))+0.0028))/D5)*(H5*J5*J5/2)*1.15)*1.18,0),0)</f>
        <v/>
      </c>
      <c r="M5">
        <f>IF(UPPER(A5)="JET-CAP",2.0*(1.2*J5*J5/2),0)</f>
        <v/>
      </c>
      <c r="N5" t="inlineStr">
        <is>
          <t>Filtre</t>
        </is>
      </c>
      <c r="O5" t="n">
        <v>250</v>
      </c>
      <c r="P5">
        <f>IF(UPPER(A5)="DIRSEK",K5*MAX(F5,1),IF(UPPER(A5)="KANAL",L5*MAX(G5,0),IF(UPPER(A5)="JET-CAP",M5,IF(UPPER(A5)="EKIPMAN",O5,0))))</f>
        <v/>
      </c>
    </row>
    <row r="6">
      <c r="H6">
        <f>(101325*EXP(-Ayarlar!$B$3/8434))/((Ayarlar!$B$2+273.15)*287.05)</f>
        <v/>
      </c>
      <c r="I6">
        <f>IF(D6&gt;0,PI()*((D6/1000)^2)/4,0)</f>
        <v/>
      </c>
      <c r="J6">
        <f>IF(AND(I6&gt;0,E6&gt;0),E6/I6/3600,0)</f>
        <v/>
      </c>
      <c r="K6">
        <f>IF(UPPER(A6)="DIRSEK",(H6*J6*J6/2)*IFERROR(INDEX(Sabitler!$B$2:$E$11,MATCH(B6,Sabitler!$A$2:$A$11,0),MATCH(C6,Sabitler!$B$1:$E$1,0)),0),0)</f>
        <v/>
      </c>
      <c r="L6">
        <f>IF(UPPER(A6)="KANAL",IF(AND(D6&gt;0,J6&gt;0),(((1000*((0.85*(0.11*(((0.03/D6)+(68/(66.4*D6*J6)))^0.25)))+0.0028))/D6)*(H6*J6*J6/2)*1.15)*1.18,0),0)</f>
        <v/>
      </c>
      <c r="M6">
        <f>IF(UPPER(A6)="JET-CAP",2.0*(1.2*J6*J6/2),0)</f>
        <v/>
      </c>
      <c r="P6">
        <f>IF(UPPER(A6)="DIRSEK",K6*MAX(F6,1),IF(UPPER(A6)="KANAL",L6*MAX(G6,0),IF(UPPER(A6)="JET-CAP",M6,IF(UPPER(A6)="EKIPMAN",O6,0))))</f>
        <v/>
      </c>
    </row>
    <row r="7">
      <c r="H7">
        <f>(101325*EXP(-Ayarlar!$B$3/8434))/((Ayarlar!$B$2+273.15)*287.05)</f>
        <v/>
      </c>
      <c r="I7">
        <f>IF(D7&gt;0,PI()*((D7/1000)^2)/4,0)</f>
        <v/>
      </c>
      <c r="J7">
        <f>IF(AND(I7&gt;0,E7&gt;0),E7/I7/3600,0)</f>
        <v/>
      </c>
      <c r="K7">
        <f>IF(UPPER(A7)="DIRSEK",(H7*J7*J7/2)*IFERROR(INDEX(Sabitler!$B$2:$E$11,MATCH(B7,Sabitler!$A$2:$A$11,0),MATCH(C7,Sabitler!$B$1:$E$1,0)),0),0)</f>
        <v/>
      </c>
      <c r="L7">
        <f>IF(UPPER(A7)="KANAL",IF(AND(D7&gt;0,J7&gt;0),(((1000*((0.85*(0.11*(((0.03/D7)+(68/(66.4*D7*J7)))^0.25)))+0.0028))/D7)*(H7*J7*J7/2)*1.15)*1.18,0),0)</f>
        <v/>
      </c>
      <c r="M7">
        <f>IF(UPPER(A7)="JET-CAP",2.0*(1.2*J7*J7/2),0)</f>
        <v/>
      </c>
      <c r="P7">
        <f>IF(UPPER(A7)="DIRSEK",K7*MAX(F7,1),IF(UPPER(A7)="KANAL",L7*MAX(G7,0),IF(UPPER(A7)="JET-CAP",M7,IF(UPPER(A7)="EKIPMAN",O7,0))))</f>
        <v/>
      </c>
    </row>
    <row r="8">
      <c r="H8">
        <f>(101325*EXP(-Ayarlar!$B$3/8434))/((Ayarlar!$B$2+273.15)*287.05)</f>
        <v/>
      </c>
      <c r="I8">
        <f>IF(D8&gt;0,PI()*((D8/1000)^2)/4,0)</f>
        <v/>
      </c>
      <c r="J8">
        <f>IF(AND(I8&gt;0,E8&gt;0),E8/I8/3600,0)</f>
        <v/>
      </c>
      <c r="K8">
        <f>IF(UPPER(A8)="DIRSEK",(H8*J8*J8/2)*IFERROR(INDEX(Sabitler!$B$2:$E$11,MATCH(B8,Sabitler!$A$2:$A$11,0),MATCH(C8,Sabitler!$B$1:$E$1,0)),0),0)</f>
        <v/>
      </c>
      <c r="L8">
        <f>IF(UPPER(A8)="KANAL",IF(AND(D8&gt;0,J8&gt;0),(((1000*((0.85*(0.11*(((0.03/D8)+(68/(66.4*D8*J8)))^0.25)))+0.0028))/D8)*(H8*J8*J8/2)*1.15)*1.18,0),0)</f>
        <v/>
      </c>
      <c r="M8">
        <f>IF(UPPER(A8)="JET-CAP",2.0*(1.2*J8*J8/2),0)</f>
        <v/>
      </c>
      <c r="P8">
        <f>IF(UPPER(A8)="DIRSEK",K8*MAX(F8,1),IF(UPPER(A8)="KANAL",L8*MAX(G8,0),IF(UPPER(A8)="JET-CAP",M8,IF(UPPER(A8)="EKIPMAN",O8,0))))</f>
        <v/>
      </c>
    </row>
    <row r="9">
      <c r="H9">
        <f>(101325*EXP(-Ayarlar!$B$3/8434))/((Ayarlar!$B$2+273.15)*287.05)</f>
        <v/>
      </c>
      <c r="I9">
        <f>IF(D9&gt;0,PI()*((D9/1000)^2)/4,0)</f>
        <v/>
      </c>
      <c r="J9">
        <f>IF(AND(I9&gt;0,E9&gt;0),E9/I9/3600,0)</f>
        <v/>
      </c>
      <c r="K9">
        <f>IF(UPPER(A9)="DIRSEK",(H9*J9*J9/2)*IFERROR(INDEX(Sabitler!$B$2:$E$11,MATCH(B9,Sabitler!$A$2:$A$11,0),MATCH(C9,Sabitler!$B$1:$E$1,0)),0),0)</f>
        <v/>
      </c>
      <c r="L9">
        <f>IF(UPPER(A9)="KANAL",IF(AND(D9&gt;0,J9&gt;0),(((1000*((0.85*(0.11*(((0.03/D9)+(68/(66.4*D9*J9)))^0.25)))+0.0028))/D9)*(H9*J9*J9/2)*1.15)*1.18,0),0)</f>
        <v/>
      </c>
      <c r="M9">
        <f>IF(UPPER(A9)="JET-CAP",2.0*(1.2*J9*J9/2),0)</f>
        <v/>
      </c>
      <c r="P9">
        <f>IF(UPPER(A9)="DIRSEK",K9*MAX(F9,1),IF(UPPER(A9)="KANAL",L9*MAX(G9,0),IF(UPPER(A9)="JET-CAP",M9,IF(UPPER(A9)="EKIPMAN",O9,0))))</f>
        <v/>
      </c>
    </row>
    <row r="10">
      <c r="H10">
        <f>(101325*EXP(-Ayarlar!$B$3/8434))/((Ayarlar!$B$2+273.15)*287.05)</f>
        <v/>
      </c>
      <c r="I10">
        <f>IF(D10&gt;0,PI()*((D10/1000)^2)/4,0)</f>
        <v/>
      </c>
      <c r="J10">
        <f>IF(AND(I10&gt;0,E10&gt;0),E10/I10/3600,0)</f>
        <v/>
      </c>
      <c r="K10">
        <f>IF(UPPER(A10)="DIRSEK",(H10*J10*J10/2)*IFERROR(INDEX(Sabitler!$B$2:$E$11,MATCH(B10,Sabitler!$A$2:$A$11,0),MATCH(C10,Sabitler!$B$1:$E$1,0)),0),0)</f>
        <v/>
      </c>
      <c r="L10">
        <f>IF(UPPER(A10)="KANAL",IF(AND(D10&gt;0,J10&gt;0),(((1000*((0.85*(0.11*(((0.03/D10)+(68/(66.4*D10*J10)))^0.25)))+0.0028))/D10)*(H10*J10*J10/2)*1.15)*1.18,0),0)</f>
        <v/>
      </c>
      <c r="M10">
        <f>IF(UPPER(A10)="JET-CAP",2.0*(1.2*J10*J10/2),0)</f>
        <v/>
      </c>
      <c r="P10">
        <f>IF(UPPER(A10)="DIRSEK",K10*MAX(F10,1),IF(UPPER(A10)="KANAL",L10*MAX(G10,0),IF(UPPER(A10)="JET-CAP",M10,IF(UPPER(A10)="EKIPMAN",O10,0))))</f>
        <v/>
      </c>
    </row>
    <row r="11">
      <c r="H11">
        <f>(101325*EXP(-Ayarlar!$B$3/8434))/((Ayarlar!$B$2+273.15)*287.05)</f>
        <v/>
      </c>
      <c r="I11">
        <f>IF(D11&gt;0,PI()*((D11/1000)^2)/4,0)</f>
        <v/>
      </c>
      <c r="J11">
        <f>IF(AND(I11&gt;0,E11&gt;0),E11/I11/3600,0)</f>
        <v/>
      </c>
      <c r="K11">
        <f>IF(UPPER(A11)="DIRSEK",(H11*J11*J11/2)*IFERROR(INDEX(Sabitler!$B$2:$E$11,MATCH(B11,Sabitler!$A$2:$A$11,0),MATCH(C11,Sabitler!$B$1:$E$1,0)),0),0)</f>
        <v/>
      </c>
      <c r="L11">
        <f>IF(UPPER(A11)="KANAL",IF(AND(D11&gt;0,J11&gt;0),(((1000*((0.85*(0.11*(((0.03/D11)+(68/(66.4*D11*J11)))^0.25)))+0.0028))/D11)*(H11*J11*J11/2)*1.15)*1.18,0),0)</f>
        <v/>
      </c>
      <c r="M11">
        <f>IF(UPPER(A11)="JET-CAP",2.0*(1.2*J11*J11/2),0)</f>
        <v/>
      </c>
      <c r="P11">
        <f>IF(UPPER(A11)="DIRSEK",K11*MAX(F11,1),IF(UPPER(A11)="KANAL",L11*MAX(G11,0),IF(UPPER(A11)="JET-CAP",M11,IF(UPPER(A11)="EKIPMAN",O11,0))))</f>
        <v/>
      </c>
    </row>
    <row r="12">
      <c r="H12">
        <f>(101325*EXP(-Ayarlar!$B$3/8434))/((Ayarlar!$B$2+273.15)*287.05)</f>
        <v/>
      </c>
      <c r="I12">
        <f>IF(D12&gt;0,PI()*((D12/1000)^2)/4,0)</f>
        <v/>
      </c>
      <c r="J12">
        <f>IF(AND(I12&gt;0,E12&gt;0),E12/I12/3600,0)</f>
        <v/>
      </c>
      <c r="K12">
        <f>IF(UPPER(A12)="DIRSEK",(H12*J12*J12/2)*IFERROR(INDEX(Sabitler!$B$2:$E$11,MATCH(B12,Sabitler!$A$2:$A$11,0),MATCH(C12,Sabitler!$B$1:$E$1,0)),0),0)</f>
        <v/>
      </c>
      <c r="L12">
        <f>IF(UPPER(A12)="KANAL",IF(AND(D12&gt;0,J12&gt;0),(((1000*((0.85*(0.11*(((0.03/D12)+(68/(66.4*D12*J12)))^0.25)))+0.0028))/D12)*(H12*J12*J12/2)*1.15)*1.18,0),0)</f>
        <v/>
      </c>
      <c r="M12">
        <f>IF(UPPER(A12)="JET-CAP",2.0*(1.2*J12*J12/2),0)</f>
        <v/>
      </c>
      <c r="P12">
        <f>IF(UPPER(A12)="DIRSEK",K12*MAX(F12,1),IF(UPPER(A12)="KANAL",L12*MAX(G12,0),IF(UPPER(A12)="JET-CAP",M12,IF(UPPER(A12)="EKIPMAN",O12,0))))</f>
        <v/>
      </c>
    </row>
    <row r="13">
      <c r="H13">
        <f>(101325*EXP(-Ayarlar!$B$3/8434))/((Ayarlar!$B$2+273.15)*287.05)</f>
        <v/>
      </c>
      <c r="I13">
        <f>IF(D13&gt;0,PI()*((D13/1000)^2)/4,0)</f>
        <v/>
      </c>
      <c r="J13">
        <f>IF(AND(I13&gt;0,E13&gt;0),E13/I13/3600,0)</f>
        <v/>
      </c>
      <c r="K13">
        <f>IF(UPPER(A13)="DIRSEK",(H13*J13*J13/2)*IFERROR(INDEX(Sabitler!$B$2:$E$11,MATCH(B13,Sabitler!$A$2:$A$11,0),MATCH(C13,Sabitler!$B$1:$E$1,0)),0),0)</f>
        <v/>
      </c>
      <c r="L13">
        <f>IF(UPPER(A13)="KANAL",IF(AND(D13&gt;0,J13&gt;0),(((1000*((0.85*(0.11*(((0.03/D13)+(68/(66.4*D13*J13)))^0.25)))+0.0028))/D13)*(H13*J13*J13/2)*1.15)*1.18,0),0)</f>
        <v/>
      </c>
      <c r="M13">
        <f>IF(UPPER(A13)="JET-CAP",2.0*(1.2*J13*J13/2),0)</f>
        <v/>
      </c>
      <c r="P13">
        <f>IF(UPPER(A13)="DIRSEK",K13*MAX(F13,1),IF(UPPER(A13)="KANAL",L13*MAX(G13,0),IF(UPPER(A13)="JET-CAP",M13,IF(UPPER(A13)="EKIPMAN",O13,0))))</f>
        <v/>
      </c>
    </row>
    <row r="14">
      <c r="H14">
        <f>(101325*EXP(-Ayarlar!$B$3/8434))/((Ayarlar!$B$2+273.15)*287.05)</f>
        <v/>
      </c>
      <c r="I14">
        <f>IF(D14&gt;0,PI()*((D14/1000)^2)/4,0)</f>
        <v/>
      </c>
      <c r="J14">
        <f>IF(AND(I14&gt;0,E14&gt;0),E14/I14/3600,0)</f>
        <v/>
      </c>
      <c r="K14">
        <f>IF(UPPER(A14)="DIRSEK",(H14*J14*J14/2)*IFERROR(INDEX(Sabitler!$B$2:$E$11,MATCH(B14,Sabitler!$A$2:$A$11,0),MATCH(C14,Sabitler!$B$1:$E$1,0)),0),0)</f>
        <v/>
      </c>
      <c r="L14">
        <f>IF(UPPER(A14)="KANAL",IF(AND(D14&gt;0,J14&gt;0),(((1000*((0.85*(0.11*(((0.03/D14)+(68/(66.4*D14*J14)))^0.25)))+0.0028))/D14)*(H14*J14*J14/2)*1.15)*1.18,0),0)</f>
        <v/>
      </c>
      <c r="M14">
        <f>IF(UPPER(A14)="JET-CAP",2.0*(1.2*J14*J14/2),0)</f>
        <v/>
      </c>
      <c r="P14">
        <f>IF(UPPER(A14)="DIRSEK",K14*MAX(F14,1),IF(UPPER(A14)="KANAL",L14*MAX(G14,0),IF(UPPER(A14)="JET-CAP",M14,IF(UPPER(A14)="EKIPMAN",O14,0))))</f>
        <v/>
      </c>
    </row>
    <row r="15">
      <c r="H15">
        <f>(101325*EXP(-Ayarlar!$B$3/8434))/((Ayarlar!$B$2+273.15)*287.05)</f>
        <v/>
      </c>
      <c r="I15">
        <f>IF(D15&gt;0,PI()*((D15/1000)^2)/4,0)</f>
        <v/>
      </c>
      <c r="J15">
        <f>IF(AND(I15&gt;0,E15&gt;0),E15/I15/3600,0)</f>
        <v/>
      </c>
      <c r="K15">
        <f>IF(UPPER(A15)="DIRSEK",(H15*J15*J15/2)*IFERROR(INDEX(Sabitler!$B$2:$E$11,MATCH(B15,Sabitler!$A$2:$A$11,0),MATCH(C15,Sabitler!$B$1:$E$1,0)),0),0)</f>
        <v/>
      </c>
      <c r="L15">
        <f>IF(UPPER(A15)="KANAL",IF(AND(D15&gt;0,J15&gt;0),(((1000*((0.85*(0.11*(((0.03/D15)+(68/(66.4*D15*J15)))^0.25)))+0.0028))/D15)*(H15*J15*J15/2)*1.15)*1.18,0),0)</f>
        <v/>
      </c>
      <c r="M15">
        <f>IF(UPPER(A15)="JET-CAP",2.0*(1.2*J15*J15/2),0)</f>
        <v/>
      </c>
      <c r="P15">
        <f>IF(UPPER(A15)="DIRSEK",K15*MAX(F15,1),IF(UPPER(A15)="KANAL",L15*MAX(G15,0),IF(UPPER(A15)="JET-CAP",M15,IF(UPPER(A15)="EKIPMAN",O15,0))))</f>
        <v/>
      </c>
    </row>
    <row r="16">
      <c r="H16">
        <f>(101325*EXP(-Ayarlar!$B$3/8434))/((Ayarlar!$B$2+273.15)*287.05)</f>
        <v/>
      </c>
      <c r="I16">
        <f>IF(D16&gt;0,PI()*((D16/1000)^2)/4,0)</f>
        <v/>
      </c>
      <c r="J16">
        <f>IF(AND(I16&gt;0,E16&gt;0),E16/I16/3600,0)</f>
        <v/>
      </c>
      <c r="K16">
        <f>IF(UPPER(A16)="DIRSEK",(H16*J16*J16/2)*IFERROR(INDEX(Sabitler!$B$2:$E$11,MATCH(B16,Sabitler!$A$2:$A$11,0),MATCH(C16,Sabitler!$B$1:$E$1,0)),0),0)</f>
        <v/>
      </c>
      <c r="L16">
        <f>IF(UPPER(A16)="KANAL",IF(AND(D16&gt;0,J16&gt;0),(((1000*((0.85*(0.11*(((0.03/D16)+(68/(66.4*D16*J16)))^0.25)))+0.0028))/D16)*(H16*J16*J16/2)*1.15)*1.18,0),0)</f>
        <v/>
      </c>
      <c r="M16">
        <f>IF(UPPER(A16)="JET-CAP",2.0*(1.2*J16*J16/2),0)</f>
        <v/>
      </c>
      <c r="P16">
        <f>IF(UPPER(A16)="DIRSEK",K16*MAX(F16,1),IF(UPPER(A16)="KANAL",L16*MAX(G16,0),IF(UPPER(A16)="JET-CAP",M16,IF(UPPER(A16)="EKIPMAN",O16,0))))</f>
        <v/>
      </c>
    </row>
    <row r="17">
      <c r="H17">
        <f>(101325*EXP(-Ayarlar!$B$3/8434))/((Ayarlar!$B$2+273.15)*287.05)</f>
        <v/>
      </c>
      <c r="I17">
        <f>IF(D17&gt;0,PI()*((D17/1000)^2)/4,0)</f>
        <v/>
      </c>
      <c r="J17">
        <f>IF(AND(I17&gt;0,E17&gt;0),E17/I17/3600,0)</f>
        <v/>
      </c>
      <c r="K17">
        <f>IF(UPPER(A17)="DIRSEK",(H17*J17*J17/2)*IFERROR(INDEX(Sabitler!$B$2:$E$11,MATCH(B17,Sabitler!$A$2:$A$11,0),MATCH(C17,Sabitler!$B$1:$E$1,0)),0),0)</f>
        <v/>
      </c>
      <c r="L17">
        <f>IF(UPPER(A17)="KANAL",IF(AND(D17&gt;0,J17&gt;0),(((1000*((0.85*(0.11*(((0.03/D17)+(68/(66.4*D17*J17)))^0.25)))+0.0028))/D17)*(H17*J17*J17/2)*1.15)*1.18,0),0)</f>
        <v/>
      </c>
      <c r="M17">
        <f>IF(UPPER(A17)="JET-CAP",2.0*(1.2*J17*J17/2),0)</f>
        <v/>
      </c>
      <c r="P17">
        <f>IF(UPPER(A17)="DIRSEK",K17*MAX(F17,1),IF(UPPER(A17)="KANAL",L17*MAX(G17,0),IF(UPPER(A17)="JET-CAP",M17,IF(UPPER(A17)="EKIPMAN",O17,0))))</f>
        <v/>
      </c>
    </row>
    <row r="18">
      <c r="H18">
        <f>(101325*EXP(-Ayarlar!$B$3/8434))/((Ayarlar!$B$2+273.15)*287.05)</f>
        <v/>
      </c>
      <c r="I18">
        <f>IF(D18&gt;0,PI()*((D18/1000)^2)/4,0)</f>
        <v/>
      </c>
      <c r="J18">
        <f>IF(AND(I18&gt;0,E18&gt;0),E18/I18/3600,0)</f>
        <v/>
      </c>
      <c r="K18">
        <f>IF(UPPER(A18)="DIRSEK",(H18*J18*J18/2)*IFERROR(INDEX(Sabitler!$B$2:$E$11,MATCH(B18,Sabitler!$A$2:$A$11,0),MATCH(C18,Sabitler!$B$1:$E$1,0)),0),0)</f>
        <v/>
      </c>
      <c r="L18">
        <f>IF(UPPER(A18)="KANAL",IF(AND(D18&gt;0,J18&gt;0),(((1000*((0.85*(0.11*(((0.03/D18)+(68/(66.4*D18*J18)))^0.25)))+0.0028))/D18)*(H18*J18*J18/2)*1.15)*1.18,0),0)</f>
        <v/>
      </c>
      <c r="M18">
        <f>IF(UPPER(A18)="JET-CAP",2.0*(1.2*J18*J18/2),0)</f>
        <v/>
      </c>
      <c r="P18">
        <f>IF(UPPER(A18)="DIRSEK",K18*MAX(F18,1),IF(UPPER(A18)="KANAL",L18*MAX(G18,0),IF(UPPER(A18)="JET-CAP",M18,IF(UPPER(A18)="EKIPMAN",O18,0))))</f>
        <v/>
      </c>
    </row>
    <row r="19">
      <c r="H19">
        <f>(101325*EXP(-Ayarlar!$B$3/8434))/((Ayarlar!$B$2+273.15)*287.05)</f>
        <v/>
      </c>
      <c r="I19">
        <f>IF(D19&gt;0,PI()*((D19/1000)^2)/4,0)</f>
        <v/>
      </c>
      <c r="J19">
        <f>IF(AND(I19&gt;0,E19&gt;0),E19/I19/3600,0)</f>
        <v/>
      </c>
      <c r="K19">
        <f>IF(UPPER(A19)="DIRSEK",(H19*J19*J19/2)*IFERROR(INDEX(Sabitler!$B$2:$E$11,MATCH(B19,Sabitler!$A$2:$A$11,0),MATCH(C19,Sabitler!$B$1:$E$1,0)),0),0)</f>
        <v/>
      </c>
      <c r="L19">
        <f>IF(UPPER(A19)="KANAL",IF(AND(D19&gt;0,J19&gt;0),(((1000*((0.85*(0.11*(((0.03/D19)+(68/(66.4*D19*J19)))^0.25)))+0.0028))/D19)*(H19*J19*J19/2)*1.15)*1.18,0),0)</f>
        <v/>
      </c>
      <c r="M19">
        <f>IF(UPPER(A19)="JET-CAP",2.0*(1.2*J19*J19/2),0)</f>
        <v/>
      </c>
      <c r="P19">
        <f>IF(UPPER(A19)="DIRSEK",K19*MAX(F19,1),IF(UPPER(A19)="KANAL",L19*MAX(G19,0),IF(UPPER(A19)="JET-CAP",M19,IF(UPPER(A19)="EKIPMAN",O19,0))))</f>
        <v/>
      </c>
    </row>
    <row r="20">
      <c r="H20">
        <f>(101325*EXP(-Ayarlar!$B$3/8434))/((Ayarlar!$B$2+273.15)*287.05)</f>
        <v/>
      </c>
      <c r="I20">
        <f>IF(D20&gt;0,PI()*((D20/1000)^2)/4,0)</f>
        <v/>
      </c>
      <c r="J20">
        <f>IF(AND(I20&gt;0,E20&gt;0),E20/I20/3600,0)</f>
        <v/>
      </c>
      <c r="K20">
        <f>IF(UPPER(A20)="DIRSEK",(H20*J20*J20/2)*IFERROR(INDEX(Sabitler!$B$2:$E$11,MATCH(B20,Sabitler!$A$2:$A$11,0),MATCH(C20,Sabitler!$B$1:$E$1,0)),0),0)</f>
        <v/>
      </c>
      <c r="L20">
        <f>IF(UPPER(A20)="KANAL",IF(AND(D20&gt;0,J20&gt;0),(((1000*((0.85*(0.11*(((0.03/D20)+(68/(66.4*D20*J20)))^0.25)))+0.0028))/D20)*(H20*J20*J20/2)*1.15)*1.18,0),0)</f>
        <v/>
      </c>
      <c r="M20">
        <f>IF(UPPER(A20)="JET-CAP",2.0*(1.2*J20*J20/2),0)</f>
        <v/>
      </c>
      <c r="P20">
        <f>IF(UPPER(A20)="DIRSEK",K20*MAX(F20,1),IF(UPPER(A20)="KANAL",L20*MAX(G20,0),IF(UPPER(A20)="JET-CAP",M20,IF(UPPER(A20)="EKIPMAN",O20,0))))</f>
        <v/>
      </c>
    </row>
    <row r="21">
      <c r="H21">
        <f>(101325*EXP(-Ayarlar!$B$3/8434))/((Ayarlar!$B$2+273.15)*287.05)</f>
        <v/>
      </c>
      <c r="I21">
        <f>IF(D21&gt;0,PI()*((D21/1000)^2)/4,0)</f>
        <v/>
      </c>
      <c r="J21">
        <f>IF(AND(I21&gt;0,E21&gt;0),E21/I21/3600,0)</f>
        <v/>
      </c>
      <c r="K21">
        <f>IF(UPPER(A21)="DIRSEK",(H21*J21*J21/2)*IFERROR(INDEX(Sabitler!$B$2:$E$11,MATCH(B21,Sabitler!$A$2:$A$11,0),MATCH(C21,Sabitler!$B$1:$E$1,0)),0),0)</f>
        <v/>
      </c>
      <c r="L21">
        <f>IF(UPPER(A21)="KANAL",IF(AND(D21&gt;0,J21&gt;0),(((1000*((0.85*(0.11*(((0.03/D21)+(68/(66.4*D21*J21)))^0.25)))+0.0028))/D21)*(H21*J21*J21/2)*1.15)*1.18,0),0)</f>
        <v/>
      </c>
      <c r="M21">
        <f>IF(UPPER(A21)="JET-CAP",2.0*(1.2*J21*J21/2),0)</f>
        <v/>
      </c>
      <c r="P21">
        <f>IF(UPPER(A21)="DIRSEK",K21*MAX(F21,1),IF(UPPER(A21)="KANAL",L21*MAX(G21,0),IF(UPPER(A21)="JET-CAP",M21,IF(UPPER(A21)="EKIPMAN",O21,0))))</f>
        <v/>
      </c>
    </row>
    <row r="22">
      <c r="H22">
        <f>(101325*EXP(-Ayarlar!$B$3/8434))/((Ayarlar!$B$2+273.15)*287.05)</f>
        <v/>
      </c>
      <c r="I22">
        <f>IF(D22&gt;0,PI()*((D22/1000)^2)/4,0)</f>
        <v/>
      </c>
      <c r="J22">
        <f>IF(AND(I22&gt;0,E22&gt;0),E22/I22/3600,0)</f>
        <v/>
      </c>
      <c r="K22">
        <f>IF(UPPER(A22)="DIRSEK",(H22*J22*J22/2)*IFERROR(INDEX(Sabitler!$B$2:$E$11,MATCH(B22,Sabitler!$A$2:$A$11,0),MATCH(C22,Sabitler!$B$1:$E$1,0)),0),0)</f>
        <v/>
      </c>
      <c r="L22">
        <f>IF(UPPER(A22)="KANAL",IF(AND(D22&gt;0,J22&gt;0),(((1000*((0.85*(0.11*(((0.03/D22)+(68/(66.4*D22*J22)))^0.25)))+0.0028))/D22)*(H22*J22*J22/2)*1.15)*1.18,0),0)</f>
        <v/>
      </c>
      <c r="M22">
        <f>IF(UPPER(A22)="JET-CAP",2.0*(1.2*J22*J22/2),0)</f>
        <v/>
      </c>
      <c r="P22">
        <f>IF(UPPER(A22)="DIRSEK",K22*MAX(F22,1),IF(UPPER(A22)="KANAL",L22*MAX(G22,0),IF(UPPER(A22)="JET-CAP",M22,IF(UPPER(A22)="EKIPMAN",O22,0))))</f>
        <v/>
      </c>
    </row>
    <row r="23">
      <c r="H23">
        <f>(101325*EXP(-Ayarlar!$B$3/8434))/((Ayarlar!$B$2+273.15)*287.05)</f>
        <v/>
      </c>
      <c r="I23">
        <f>IF(D23&gt;0,PI()*((D23/1000)^2)/4,0)</f>
        <v/>
      </c>
      <c r="J23">
        <f>IF(AND(I23&gt;0,E23&gt;0),E23/I23/3600,0)</f>
        <v/>
      </c>
      <c r="K23">
        <f>IF(UPPER(A23)="DIRSEK",(H23*J23*J23/2)*IFERROR(INDEX(Sabitler!$B$2:$E$11,MATCH(B23,Sabitler!$A$2:$A$11,0),MATCH(C23,Sabitler!$B$1:$E$1,0)),0),0)</f>
        <v/>
      </c>
      <c r="L23">
        <f>IF(UPPER(A23)="KANAL",IF(AND(D23&gt;0,J23&gt;0),(((1000*((0.85*(0.11*(((0.03/D23)+(68/(66.4*D23*J23)))^0.25)))+0.0028))/D23)*(H23*J23*J23/2)*1.15)*1.18,0),0)</f>
        <v/>
      </c>
      <c r="M23">
        <f>IF(UPPER(A23)="JET-CAP",2.0*(1.2*J23*J23/2),0)</f>
        <v/>
      </c>
      <c r="P23">
        <f>IF(UPPER(A23)="DIRSEK",K23*MAX(F23,1),IF(UPPER(A23)="KANAL",L23*MAX(G23,0),IF(UPPER(A23)="JET-CAP",M23,IF(UPPER(A23)="EKIPMAN",O23,0))))</f>
        <v/>
      </c>
    </row>
    <row r="24">
      <c r="H24">
        <f>(101325*EXP(-Ayarlar!$B$3/8434))/((Ayarlar!$B$2+273.15)*287.05)</f>
        <v/>
      </c>
      <c r="I24">
        <f>IF(D24&gt;0,PI()*((D24/1000)^2)/4,0)</f>
        <v/>
      </c>
      <c r="J24">
        <f>IF(AND(I24&gt;0,E24&gt;0),E24/I24/3600,0)</f>
        <v/>
      </c>
      <c r="K24">
        <f>IF(UPPER(A24)="DIRSEK",(H24*J24*J24/2)*IFERROR(INDEX(Sabitler!$B$2:$E$11,MATCH(B24,Sabitler!$A$2:$A$11,0),MATCH(C24,Sabitler!$B$1:$E$1,0)),0),0)</f>
        <v/>
      </c>
      <c r="L24">
        <f>IF(UPPER(A24)="KANAL",IF(AND(D24&gt;0,J24&gt;0),(((1000*((0.85*(0.11*(((0.03/D24)+(68/(66.4*D24*J24)))^0.25)))+0.0028))/D24)*(H24*J24*J24/2)*1.15)*1.18,0),0)</f>
        <v/>
      </c>
      <c r="M24">
        <f>IF(UPPER(A24)="JET-CAP",2.0*(1.2*J24*J24/2),0)</f>
        <v/>
      </c>
      <c r="P24">
        <f>IF(UPPER(A24)="DIRSEK",K24*MAX(F24,1),IF(UPPER(A24)="KANAL",L24*MAX(G24,0),IF(UPPER(A24)="JET-CAP",M24,IF(UPPER(A24)="EKIPMAN",O24,0))))</f>
        <v/>
      </c>
    </row>
    <row r="25">
      <c r="H25">
        <f>(101325*EXP(-Ayarlar!$B$3/8434))/((Ayarlar!$B$2+273.15)*287.05)</f>
        <v/>
      </c>
      <c r="I25">
        <f>IF(D25&gt;0,PI()*((D25/1000)^2)/4,0)</f>
        <v/>
      </c>
      <c r="J25">
        <f>IF(AND(I25&gt;0,E25&gt;0),E25/I25/3600,0)</f>
        <v/>
      </c>
      <c r="K25">
        <f>IF(UPPER(A25)="DIRSEK",(H25*J25*J25/2)*IFERROR(INDEX(Sabitler!$B$2:$E$11,MATCH(B25,Sabitler!$A$2:$A$11,0),MATCH(C25,Sabitler!$B$1:$E$1,0)),0),0)</f>
        <v/>
      </c>
      <c r="L25">
        <f>IF(UPPER(A25)="KANAL",IF(AND(D25&gt;0,J25&gt;0),(((1000*((0.85*(0.11*(((0.03/D25)+(68/(66.4*D25*J25)))^0.25)))+0.0028))/D25)*(H25*J25*J25/2)*1.15)*1.18,0),0)</f>
        <v/>
      </c>
      <c r="M25">
        <f>IF(UPPER(A25)="JET-CAP",2.0*(1.2*J25*J25/2),0)</f>
        <v/>
      </c>
      <c r="P25">
        <f>IF(UPPER(A25)="DIRSEK",K25*MAX(F25,1),IF(UPPER(A25)="KANAL",L25*MAX(G25,0),IF(UPPER(A25)="JET-CAP",M25,IF(UPPER(A25)="EKIPMAN",O25,0))))</f>
        <v/>
      </c>
    </row>
    <row r="26">
      <c r="H26">
        <f>(101325*EXP(-Ayarlar!$B$3/8434))/((Ayarlar!$B$2+273.15)*287.05)</f>
        <v/>
      </c>
      <c r="I26">
        <f>IF(D26&gt;0,PI()*((D26/1000)^2)/4,0)</f>
        <v/>
      </c>
      <c r="J26">
        <f>IF(AND(I26&gt;0,E26&gt;0),E26/I26/3600,0)</f>
        <v/>
      </c>
      <c r="K26">
        <f>IF(UPPER(A26)="DIRSEK",(H26*J26*J26/2)*IFERROR(INDEX(Sabitler!$B$2:$E$11,MATCH(B26,Sabitler!$A$2:$A$11,0),MATCH(C26,Sabitler!$B$1:$E$1,0)),0),0)</f>
        <v/>
      </c>
      <c r="L26">
        <f>IF(UPPER(A26)="KANAL",IF(AND(D26&gt;0,J26&gt;0),(((1000*((0.85*(0.11*(((0.03/D26)+(68/(66.4*D26*J26)))^0.25)))+0.0028))/D26)*(H26*J26*J26/2)*1.15)*1.18,0),0)</f>
        <v/>
      </c>
      <c r="M26">
        <f>IF(UPPER(A26)="JET-CAP",2.0*(1.2*J26*J26/2),0)</f>
        <v/>
      </c>
      <c r="P26">
        <f>IF(UPPER(A26)="DIRSEK",K26*MAX(F26,1),IF(UPPER(A26)="KANAL",L26*MAX(G26,0),IF(UPPER(A26)="JET-CAP",M26,IF(UPPER(A26)="EKIPMAN",O26,0))))</f>
        <v/>
      </c>
    </row>
    <row r="27">
      <c r="H27">
        <f>(101325*EXP(-Ayarlar!$B$3/8434))/((Ayarlar!$B$2+273.15)*287.05)</f>
        <v/>
      </c>
      <c r="I27">
        <f>IF(D27&gt;0,PI()*((D27/1000)^2)/4,0)</f>
        <v/>
      </c>
      <c r="J27">
        <f>IF(AND(I27&gt;0,E27&gt;0),E27/I27/3600,0)</f>
        <v/>
      </c>
      <c r="K27">
        <f>IF(UPPER(A27)="DIRSEK",(H27*J27*J27/2)*IFERROR(INDEX(Sabitler!$B$2:$E$11,MATCH(B27,Sabitler!$A$2:$A$11,0),MATCH(C27,Sabitler!$B$1:$E$1,0)),0),0)</f>
        <v/>
      </c>
      <c r="L27">
        <f>IF(UPPER(A27)="KANAL",IF(AND(D27&gt;0,J27&gt;0),(((1000*((0.85*(0.11*(((0.03/D27)+(68/(66.4*D27*J27)))^0.25)))+0.0028))/D27)*(H27*J27*J27/2)*1.15)*1.18,0),0)</f>
        <v/>
      </c>
      <c r="M27">
        <f>IF(UPPER(A27)="JET-CAP",2.0*(1.2*J27*J27/2),0)</f>
        <v/>
      </c>
      <c r="P27">
        <f>IF(UPPER(A27)="DIRSEK",K27*MAX(F27,1),IF(UPPER(A27)="KANAL",L27*MAX(G27,0),IF(UPPER(A27)="JET-CAP",M27,IF(UPPER(A27)="EKIPMAN",O27,0))))</f>
        <v/>
      </c>
    </row>
    <row r="28">
      <c r="H28">
        <f>(101325*EXP(-Ayarlar!$B$3/8434))/((Ayarlar!$B$2+273.15)*287.05)</f>
        <v/>
      </c>
      <c r="I28">
        <f>IF(D28&gt;0,PI()*((D28/1000)^2)/4,0)</f>
        <v/>
      </c>
      <c r="J28">
        <f>IF(AND(I28&gt;0,E28&gt;0),E28/I28/3600,0)</f>
        <v/>
      </c>
      <c r="K28">
        <f>IF(UPPER(A28)="DIRSEK",(H28*J28*J28/2)*IFERROR(INDEX(Sabitler!$B$2:$E$11,MATCH(B28,Sabitler!$A$2:$A$11,0),MATCH(C28,Sabitler!$B$1:$E$1,0)),0),0)</f>
        <v/>
      </c>
      <c r="L28">
        <f>IF(UPPER(A28)="KANAL",IF(AND(D28&gt;0,J28&gt;0),(((1000*((0.85*(0.11*(((0.03/D28)+(68/(66.4*D28*J28)))^0.25)))+0.0028))/D28)*(H28*J28*J28/2)*1.15)*1.18,0),0)</f>
        <v/>
      </c>
      <c r="M28">
        <f>IF(UPPER(A28)="JET-CAP",2.0*(1.2*J28*J28/2),0)</f>
        <v/>
      </c>
      <c r="P28">
        <f>IF(UPPER(A28)="DIRSEK",K28*MAX(F28,1),IF(UPPER(A28)="KANAL",L28*MAX(G28,0),IF(UPPER(A28)="JET-CAP",M28,IF(UPPER(A28)="EKIPMAN",O28,0))))</f>
        <v/>
      </c>
    </row>
    <row r="29">
      <c r="H29">
        <f>(101325*EXP(-Ayarlar!$B$3/8434))/((Ayarlar!$B$2+273.15)*287.05)</f>
        <v/>
      </c>
      <c r="I29">
        <f>IF(D29&gt;0,PI()*((D29/1000)^2)/4,0)</f>
        <v/>
      </c>
      <c r="J29">
        <f>IF(AND(I29&gt;0,E29&gt;0),E29/I29/3600,0)</f>
        <v/>
      </c>
      <c r="K29">
        <f>IF(UPPER(A29)="DIRSEK",(H29*J29*J29/2)*IFERROR(INDEX(Sabitler!$B$2:$E$11,MATCH(B29,Sabitler!$A$2:$A$11,0),MATCH(C29,Sabitler!$B$1:$E$1,0)),0),0)</f>
        <v/>
      </c>
      <c r="L29">
        <f>IF(UPPER(A29)="KANAL",IF(AND(D29&gt;0,J29&gt;0),(((1000*((0.85*(0.11*(((0.03/D29)+(68/(66.4*D29*J29)))^0.25)))+0.0028))/D29)*(H29*J29*J29/2)*1.15)*1.18,0),0)</f>
        <v/>
      </c>
      <c r="M29">
        <f>IF(UPPER(A29)="JET-CAP",2.0*(1.2*J29*J29/2),0)</f>
        <v/>
      </c>
      <c r="P29">
        <f>IF(UPPER(A29)="DIRSEK",K29*MAX(F29,1),IF(UPPER(A29)="KANAL",L29*MAX(G29,0),IF(UPPER(A29)="JET-CAP",M29,IF(UPPER(A29)="EKIPMAN",O29,0))))</f>
        <v/>
      </c>
    </row>
    <row r="30">
      <c r="H30">
        <f>(101325*EXP(-Ayarlar!$B$3/8434))/((Ayarlar!$B$2+273.15)*287.05)</f>
        <v/>
      </c>
      <c r="I30">
        <f>IF(D30&gt;0,PI()*((D30/1000)^2)/4,0)</f>
        <v/>
      </c>
      <c r="J30">
        <f>IF(AND(I30&gt;0,E30&gt;0),E30/I30/3600,0)</f>
        <v/>
      </c>
      <c r="K30">
        <f>IF(UPPER(A30)="DIRSEK",(H30*J30*J30/2)*IFERROR(INDEX(Sabitler!$B$2:$E$11,MATCH(B30,Sabitler!$A$2:$A$11,0),MATCH(C30,Sabitler!$B$1:$E$1,0)),0),0)</f>
        <v/>
      </c>
      <c r="L30">
        <f>IF(UPPER(A30)="KANAL",IF(AND(D30&gt;0,J30&gt;0),(((1000*((0.85*(0.11*(((0.03/D30)+(68/(66.4*D30*J30)))^0.25)))+0.0028))/D30)*(H30*J30*J30/2)*1.15)*1.18,0),0)</f>
        <v/>
      </c>
      <c r="M30">
        <f>IF(UPPER(A30)="JET-CAP",2.0*(1.2*J30*J30/2),0)</f>
        <v/>
      </c>
      <c r="P30">
        <f>IF(UPPER(A30)="DIRSEK",K30*MAX(F30,1),IF(UPPER(A30)="KANAL",L30*MAX(G30,0),IF(UPPER(A30)="JET-CAP",M30,IF(UPPER(A30)="EKIPMAN",O30,0))))</f>
        <v/>
      </c>
    </row>
    <row r="31">
      <c r="H31">
        <f>(101325*EXP(-Ayarlar!$B$3/8434))/((Ayarlar!$B$2+273.15)*287.05)</f>
        <v/>
      </c>
      <c r="I31">
        <f>IF(D31&gt;0,PI()*((D31/1000)^2)/4,0)</f>
        <v/>
      </c>
      <c r="J31">
        <f>IF(AND(I31&gt;0,E31&gt;0),E31/I31/3600,0)</f>
        <v/>
      </c>
      <c r="K31">
        <f>IF(UPPER(A31)="DIRSEK",(H31*J31*J31/2)*IFERROR(INDEX(Sabitler!$B$2:$E$11,MATCH(B31,Sabitler!$A$2:$A$11,0),MATCH(C31,Sabitler!$B$1:$E$1,0)),0),0)</f>
        <v/>
      </c>
      <c r="L31">
        <f>IF(UPPER(A31)="KANAL",IF(AND(D31&gt;0,J31&gt;0),(((1000*((0.85*(0.11*(((0.03/D31)+(68/(66.4*D31*J31)))^0.25)))+0.0028))/D31)*(H31*J31*J31/2)*1.15)*1.18,0),0)</f>
        <v/>
      </c>
      <c r="M31">
        <f>IF(UPPER(A31)="JET-CAP",2.0*(1.2*J31*J31/2),0)</f>
        <v/>
      </c>
      <c r="P31">
        <f>IF(UPPER(A31)="DIRSEK",K31*MAX(F31,1),IF(UPPER(A31)="KANAL",L31*MAX(G31,0),IF(UPPER(A31)="JET-CAP",M31,IF(UPPER(A31)="EKIPMAN",O31,0))))</f>
        <v/>
      </c>
    </row>
    <row r="32">
      <c r="H32">
        <f>(101325*EXP(-Ayarlar!$B$3/8434))/((Ayarlar!$B$2+273.15)*287.05)</f>
        <v/>
      </c>
      <c r="I32">
        <f>IF(D32&gt;0,PI()*((D32/1000)^2)/4,0)</f>
        <v/>
      </c>
      <c r="J32">
        <f>IF(AND(I32&gt;0,E32&gt;0),E32/I32/3600,0)</f>
        <v/>
      </c>
      <c r="K32">
        <f>IF(UPPER(A32)="DIRSEK",(H32*J32*J32/2)*IFERROR(INDEX(Sabitler!$B$2:$E$11,MATCH(B32,Sabitler!$A$2:$A$11,0),MATCH(C32,Sabitler!$B$1:$E$1,0)),0),0)</f>
        <v/>
      </c>
      <c r="L32">
        <f>IF(UPPER(A32)="KANAL",IF(AND(D32&gt;0,J32&gt;0),(((1000*((0.85*(0.11*(((0.03/D32)+(68/(66.4*D32*J32)))^0.25)))+0.0028))/D32)*(H32*J32*J32/2)*1.15)*1.18,0),0)</f>
        <v/>
      </c>
      <c r="M32">
        <f>IF(UPPER(A32)="JET-CAP",2.0*(1.2*J32*J32/2),0)</f>
        <v/>
      </c>
      <c r="P32">
        <f>IF(UPPER(A32)="DIRSEK",K32*MAX(F32,1),IF(UPPER(A32)="KANAL",L32*MAX(G32,0),IF(UPPER(A32)="JET-CAP",M32,IF(UPPER(A32)="EKIPMAN",O32,0))))</f>
        <v/>
      </c>
    </row>
    <row r="33">
      <c r="H33">
        <f>(101325*EXP(-Ayarlar!$B$3/8434))/((Ayarlar!$B$2+273.15)*287.05)</f>
        <v/>
      </c>
      <c r="I33">
        <f>IF(D33&gt;0,PI()*((D33/1000)^2)/4,0)</f>
        <v/>
      </c>
      <c r="J33">
        <f>IF(AND(I33&gt;0,E33&gt;0),E33/I33/3600,0)</f>
        <v/>
      </c>
      <c r="K33">
        <f>IF(UPPER(A33)="DIRSEK",(H33*J33*J33/2)*IFERROR(INDEX(Sabitler!$B$2:$E$11,MATCH(B33,Sabitler!$A$2:$A$11,0),MATCH(C33,Sabitler!$B$1:$E$1,0)),0),0)</f>
        <v/>
      </c>
      <c r="L33">
        <f>IF(UPPER(A33)="KANAL",IF(AND(D33&gt;0,J33&gt;0),(((1000*((0.85*(0.11*(((0.03/D33)+(68/(66.4*D33*J33)))^0.25)))+0.0028))/D33)*(H33*J33*J33/2)*1.15)*1.18,0),0)</f>
        <v/>
      </c>
      <c r="M33">
        <f>IF(UPPER(A33)="JET-CAP",2.0*(1.2*J33*J33/2),0)</f>
        <v/>
      </c>
      <c r="P33">
        <f>IF(UPPER(A33)="DIRSEK",K33*MAX(F33,1),IF(UPPER(A33)="KANAL",L33*MAX(G33,0),IF(UPPER(A33)="JET-CAP",M33,IF(UPPER(A33)="EKIPMAN",O33,0))))</f>
        <v/>
      </c>
    </row>
    <row r="34">
      <c r="H34">
        <f>(101325*EXP(-Ayarlar!$B$3/8434))/((Ayarlar!$B$2+273.15)*287.05)</f>
        <v/>
      </c>
      <c r="I34">
        <f>IF(D34&gt;0,PI()*((D34/1000)^2)/4,0)</f>
        <v/>
      </c>
      <c r="J34">
        <f>IF(AND(I34&gt;0,E34&gt;0),E34/I34/3600,0)</f>
        <v/>
      </c>
      <c r="K34">
        <f>IF(UPPER(A34)="DIRSEK",(H34*J34*J34/2)*IFERROR(INDEX(Sabitler!$B$2:$E$11,MATCH(B34,Sabitler!$A$2:$A$11,0),MATCH(C34,Sabitler!$B$1:$E$1,0)),0),0)</f>
        <v/>
      </c>
      <c r="L34">
        <f>IF(UPPER(A34)="KANAL",IF(AND(D34&gt;0,J34&gt;0),(((1000*((0.85*(0.11*(((0.03/D34)+(68/(66.4*D34*J34)))^0.25)))+0.0028))/D34)*(H34*J34*J34/2)*1.15)*1.18,0),0)</f>
        <v/>
      </c>
      <c r="M34">
        <f>IF(UPPER(A34)="JET-CAP",2.0*(1.2*J34*J34/2),0)</f>
        <v/>
      </c>
      <c r="P34">
        <f>IF(UPPER(A34)="DIRSEK",K34*MAX(F34,1),IF(UPPER(A34)="KANAL",L34*MAX(G34,0),IF(UPPER(A34)="JET-CAP",M34,IF(UPPER(A34)="EKIPMAN",O34,0))))</f>
        <v/>
      </c>
    </row>
    <row r="35">
      <c r="H35">
        <f>(101325*EXP(-Ayarlar!$B$3/8434))/((Ayarlar!$B$2+273.15)*287.05)</f>
        <v/>
      </c>
      <c r="I35">
        <f>IF(D35&gt;0,PI()*((D35/1000)^2)/4,0)</f>
        <v/>
      </c>
      <c r="J35">
        <f>IF(AND(I35&gt;0,E35&gt;0),E35/I35/3600,0)</f>
        <v/>
      </c>
      <c r="K35">
        <f>IF(UPPER(A35)="DIRSEK",(H35*J35*J35/2)*IFERROR(INDEX(Sabitler!$B$2:$E$11,MATCH(B35,Sabitler!$A$2:$A$11,0),MATCH(C35,Sabitler!$B$1:$E$1,0)),0),0)</f>
        <v/>
      </c>
      <c r="L35">
        <f>IF(UPPER(A35)="KANAL",IF(AND(D35&gt;0,J35&gt;0),(((1000*((0.85*(0.11*(((0.03/D35)+(68/(66.4*D35*J35)))^0.25)))+0.0028))/D35)*(H35*J35*J35/2)*1.15)*1.18,0),0)</f>
        <v/>
      </c>
      <c r="M35">
        <f>IF(UPPER(A35)="JET-CAP",2.0*(1.2*J35*J35/2),0)</f>
        <v/>
      </c>
      <c r="P35">
        <f>IF(UPPER(A35)="DIRSEK",K35*MAX(F35,1),IF(UPPER(A35)="KANAL",L35*MAX(G35,0),IF(UPPER(A35)="JET-CAP",M35,IF(UPPER(A35)="EKIPMAN",O35,0))))</f>
        <v/>
      </c>
    </row>
    <row r="36">
      <c r="H36">
        <f>(101325*EXP(-Ayarlar!$B$3/8434))/((Ayarlar!$B$2+273.15)*287.05)</f>
        <v/>
      </c>
      <c r="I36">
        <f>IF(D36&gt;0,PI()*((D36/1000)^2)/4,0)</f>
        <v/>
      </c>
      <c r="J36">
        <f>IF(AND(I36&gt;0,E36&gt;0),E36/I36/3600,0)</f>
        <v/>
      </c>
      <c r="K36">
        <f>IF(UPPER(A36)="DIRSEK",(H36*J36*J36/2)*IFERROR(INDEX(Sabitler!$B$2:$E$11,MATCH(B36,Sabitler!$A$2:$A$11,0),MATCH(C36,Sabitler!$B$1:$E$1,0)),0),0)</f>
        <v/>
      </c>
      <c r="L36">
        <f>IF(UPPER(A36)="KANAL",IF(AND(D36&gt;0,J36&gt;0),(((1000*((0.85*(0.11*(((0.03/D36)+(68/(66.4*D36*J36)))^0.25)))+0.0028))/D36)*(H36*J36*J36/2)*1.15)*1.18,0),0)</f>
        <v/>
      </c>
      <c r="M36">
        <f>IF(UPPER(A36)="JET-CAP",2.0*(1.2*J36*J36/2),0)</f>
        <v/>
      </c>
      <c r="P36">
        <f>IF(UPPER(A36)="DIRSEK",K36*MAX(F36,1),IF(UPPER(A36)="KANAL",L36*MAX(G36,0),IF(UPPER(A36)="JET-CAP",M36,IF(UPPER(A36)="EKIPMAN",O36,0))))</f>
        <v/>
      </c>
    </row>
    <row r="37">
      <c r="H37">
        <f>(101325*EXP(-Ayarlar!$B$3/8434))/((Ayarlar!$B$2+273.15)*287.05)</f>
        <v/>
      </c>
      <c r="I37">
        <f>IF(D37&gt;0,PI()*((D37/1000)^2)/4,0)</f>
        <v/>
      </c>
      <c r="J37">
        <f>IF(AND(I37&gt;0,E37&gt;0),E37/I37/3600,0)</f>
        <v/>
      </c>
      <c r="K37">
        <f>IF(UPPER(A37)="DIRSEK",(H37*J37*J37/2)*IFERROR(INDEX(Sabitler!$B$2:$E$11,MATCH(B37,Sabitler!$A$2:$A$11,0),MATCH(C37,Sabitler!$B$1:$E$1,0)),0),0)</f>
        <v/>
      </c>
      <c r="L37">
        <f>IF(UPPER(A37)="KANAL",IF(AND(D37&gt;0,J37&gt;0),(((1000*((0.85*(0.11*(((0.03/D37)+(68/(66.4*D37*J37)))^0.25)))+0.0028))/D37)*(H37*J37*J37/2)*1.15)*1.18,0),0)</f>
        <v/>
      </c>
      <c r="M37">
        <f>IF(UPPER(A37)="JET-CAP",2.0*(1.2*J37*J37/2),0)</f>
        <v/>
      </c>
      <c r="P37">
        <f>IF(UPPER(A37)="DIRSEK",K37*MAX(F37,1),IF(UPPER(A37)="KANAL",L37*MAX(G37,0),IF(UPPER(A37)="JET-CAP",M37,IF(UPPER(A37)="EKIPMAN",O37,0))))</f>
        <v/>
      </c>
    </row>
    <row r="38">
      <c r="H38">
        <f>(101325*EXP(-Ayarlar!$B$3/8434))/((Ayarlar!$B$2+273.15)*287.05)</f>
        <v/>
      </c>
      <c r="I38">
        <f>IF(D38&gt;0,PI()*((D38/1000)^2)/4,0)</f>
        <v/>
      </c>
      <c r="J38">
        <f>IF(AND(I38&gt;0,E38&gt;0),E38/I38/3600,0)</f>
        <v/>
      </c>
      <c r="K38">
        <f>IF(UPPER(A38)="DIRSEK",(H38*J38*J38/2)*IFERROR(INDEX(Sabitler!$B$2:$E$11,MATCH(B38,Sabitler!$A$2:$A$11,0),MATCH(C38,Sabitler!$B$1:$E$1,0)),0),0)</f>
        <v/>
      </c>
      <c r="L38">
        <f>IF(UPPER(A38)="KANAL",IF(AND(D38&gt;0,J38&gt;0),(((1000*((0.85*(0.11*(((0.03/D38)+(68/(66.4*D38*J38)))^0.25)))+0.0028))/D38)*(H38*J38*J38/2)*1.15)*1.18,0),0)</f>
        <v/>
      </c>
      <c r="M38">
        <f>IF(UPPER(A38)="JET-CAP",2.0*(1.2*J38*J38/2),0)</f>
        <v/>
      </c>
      <c r="P38">
        <f>IF(UPPER(A38)="DIRSEK",K38*MAX(F38,1),IF(UPPER(A38)="KANAL",L38*MAX(G38,0),IF(UPPER(A38)="JET-CAP",M38,IF(UPPER(A38)="EKIPMAN",O38,0))))</f>
        <v/>
      </c>
    </row>
    <row r="39">
      <c r="H39">
        <f>(101325*EXP(-Ayarlar!$B$3/8434))/((Ayarlar!$B$2+273.15)*287.05)</f>
        <v/>
      </c>
      <c r="I39">
        <f>IF(D39&gt;0,PI()*((D39/1000)^2)/4,0)</f>
        <v/>
      </c>
      <c r="J39">
        <f>IF(AND(I39&gt;0,E39&gt;0),E39/I39/3600,0)</f>
        <v/>
      </c>
      <c r="K39">
        <f>IF(UPPER(A39)="DIRSEK",(H39*J39*J39/2)*IFERROR(INDEX(Sabitler!$B$2:$E$11,MATCH(B39,Sabitler!$A$2:$A$11,0),MATCH(C39,Sabitler!$B$1:$E$1,0)),0),0)</f>
        <v/>
      </c>
      <c r="L39">
        <f>IF(UPPER(A39)="KANAL",IF(AND(D39&gt;0,J39&gt;0),(((1000*((0.85*(0.11*(((0.03/D39)+(68/(66.4*D39*J39)))^0.25)))+0.0028))/D39)*(H39*J39*J39/2)*1.15)*1.18,0),0)</f>
        <v/>
      </c>
      <c r="M39">
        <f>IF(UPPER(A39)="JET-CAP",2.0*(1.2*J39*J39/2),0)</f>
        <v/>
      </c>
      <c r="P39">
        <f>IF(UPPER(A39)="DIRSEK",K39*MAX(F39,1),IF(UPPER(A39)="KANAL",L39*MAX(G39,0),IF(UPPER(A39)="JET-CAP",M39,IF(UPPER(A39)="EKIPMAN",O39,0))))</f>
        <v/>
      </c>
    </row>
    <row r="40">
      <c r="H40">
        <f>(101325*EXP(-Ayarlar!$B$3/8434))/((Ayarlar!$B$2+273.15)*287.05)</f>
        <v/>
      </c>
      <c r="I40">
        <f>IF(D40&gt;0,PI()*((D40/1000)^2)/4,0)</f>
        <v/>
      </c>
      <c r="J40">
        <f>IF(AND(I40&gt;0,E40&gt;0),E40/I40/3600,0)</f>
        <v/>
      </c>
      <c r="K40">
        <f>IF(UPPER(A40)="DIRSEK",(H40*J40*J40/2)*IFERROR(INDEX(Sabitler!$B$2:$E$11,MATCH(B40,Sabitler!$A$2:$A$11,0),MATCH(C40,Sabitler!$B$1:$E$1,0)),0),0)</f>
        <v/>
      </c>
      <c r="L40">
        <f>IF(UPPER(A40)="KANAL",IF(AND(D40&gt;0,J40&gt;0),(((1000*((0.85*(0.11*(((0.03/D40)+(68/(66.4*D40*J40)))^0.25)))+0.0028))/D40)*(H40*J40*J40/2)*1.15)*1.18,0),0)</f>
        <v/>
      </c>
      <c r="M40">
        <f>IF(UPPER(A40)="JET-CAP",2.0*(1.2*J40*J40/2),0)</f>
        <v/>
      </c>
      <c r="P40">
        <f>IF(UPPER(A40)="DIRSEK",K40*MAX(F40,1),IF(UPPER(A40)="KANAL",L40*MAX(G40,0),IF(UPPER(A40)="JET-CAP",M40,IF(UPPER(A40)="EKIPMAN",O40,0))))</f>
        <v/>
      </c>
    </row>
    <row r="41">
      <c r="H41">
        <f>(101325*EXP(-Ayarlar!$B$3/8434))/((Ayarlar!$B$2+273.15)*287.05)</f>
        <v/>
      </c>
      <c r="I41">
        <f>IF(D41&gt;0,PI()*((D41/1000)^2)/4,0)</f>
        <v/>
      </c>
      <c r="J41">
        <f>IF(AND(I41&gt;0,E41&gt;0),E41/I41/3600,0)</f>
        <v/>
      </c>
      <c r="K41">
        <f>IF(UPPER(A41)="DIRSEK",(H41*J41*J41/2)*IFERROR(INDEX(Sabitler!$B$2:$E$11,MATCH(B41,Sabitler!$A$2:$A$11,0),MATCH(C41,Sabitler!$B$1:$E$1,0)),0),0)</f>
        <v/>
      </c>
      <c r="L41">
        <f>IF(UPPER(A41)="KANAL",IF(AND(D41&gt;0,J41&gt;0),(((1000*((0.85*(0.11*(((0.03/D41)+(68/(66.4*D41*J41)))^0.25)))+0.0028))/D41)*(H41*J41*J41/2)*1.15)*1.18,0),0)</f>
        <v/>
      </c>
      <c r="M41">
        <f>IF(UPPER(A41)="JET-CAP",2.0*(1.2*J41*J41/2),0)</f>
        <v/>
      </c>
      <c r="P41">
        <f>IF(UPPER(A41)="DIRSEK",K41*MAX(F41,1),IF(UPPER(A41)="KANAL",L41*MAX(G41,0),IF(UPPER(A41)="JET-CAP",M41,IF(UPPER(A41)="EKIPMAN",O41,0))))</f>
        <v/>
      </c>
    </row>
    <row r="42">
      <c r="H42">
        <f>(101325*EXP(-Ayarlar!$B$3/8434))/((Ayarlar!$B$2+273.15)*287.05)</f>
        <v/>
      </c>
      <c r="I42">
        <f>IF(D42&gt;0,PI()*((D42/1000)^2)/4,0)</f>
        <v/>
      </c>
      <c r="J42">
        <f>IF(AND(I42&gt;0,E42&gt;0),E42/I42/3600,0)</f>
        <v/>
      </c>
      <c r="K42">
        <f>IF(UPPER(A42)="DIRSEK",(H42*J42*J42/2)*IFERROR(INDEX(Sabitler!$B$2:$E$11,MATCH(B42,Sabitler!$A$2:$A$11,0),MATCH(C42,Sabitler!$B$1:$E$1,0)),0),0)</f>
        <v/>
      </c>
      <c r="L42">
        <f>IF(UPPER(A42)="KANAL",IF(AND(D42&gt;0,J42&gt;0),(((1000*((0.85*(0.11*(((0.03/D42)+(68/(66.4*D42*J42)))^0.25)))+0.0028))/D42)*(H42*J42*J42/2)*1.15)*1.18,0),0)</f>
        <v/>
      </c>
      <c r="M42">
        <f>IF(UPPER(A42)="JET-CAP",2.0*(1.2*J42*J42/2),0)</f>
        <v/>
      </c>
      <c r="P42">
        <f>IF(UPPER(A42)="DIRSEK",K42*MAX(F42,1),IF(UPPER(A42)="KANAL",L42*MAX(G42,0),IF(UPPER(A42)="JET-CAP",M42,IF(UPPER(A42)="EKIPMAN",O42,0))))</f>
        <v/>
      </c>
    </row>
    <row r="43">
      <c r="H43">
        <f>(101325*EXP(-Ayarlar!$B$3/8434))/((Ayarlar!$B$2+273.15)*287.05)</f>
        <v/>
      </c>
      <c r="I43">
        <f>IF(D43&gt;0,PI()*((D43/1000)^2)/4,0)</f>
        <v/>
      </c>
      <c r="J43">
        <f>IF(AND(I43&gt;0,E43&gt;0),E43/I43/3600,0)</f>
        <v/>
      </c>
      <c r="K43">
        <f>IF(UPPER(A43)="DIRSEK",(H43*J43*J43/2)*IFERROR(INDEX(Sabitler!$B$2:$E$11,MATCH(B43,Sabitler!$A$2:$A$11,0),MATCH(C43,Sabitler!$B$1:$E$1,0)),0),0)</f>
        <v/>
      </c>
      <c r="L43">
        <f>IF(UPPER(A43)="KANAL",IF(AND(D43&gt;0,J43&gt;0),(((1000*((0.85*(0.11*(((0.03/D43)+(68/(66.4*D43*J43)))^0.25)))+0.0028))/D43)*(H43*J43*J43/2)*1.15)*1.18,0),0)</f>
        <v/>
      </c>
      <c r="M43">
        <f>IF(UPPER(A43)="JET-CAP",2.0*(1.2*J43*J43/2),0)</f>
        <v/>
      </c>
      <c r="P43">
        <f>IF(UPPER(A43)="DIRSEK",K43*MAX(F43,1),IF(UPPER(A43)="KANAL",L43*MAX(G43,0),IF(UPPER(A43)="JET-CAP",M43,IF(UPPER(A43)="EKIPMAN",O43,0))))</f>
        <v/>
      </c>
    </row>
    <row r="44">
      <c r="H44">
        <f>(101325*EXP(-Ayarlar!$B$3/8434))/((Ayarlar!$B$2+273.15)*287.05)</f>
        <v/>
      </c>
      <c r="I44">
        <f>IF(D44&gt;0,PI()*((D44/1000)^2)/4,0)</f>
        <v/>
      </c>
      <c r="J44">
        <f>IF(AND(I44&gt;0,E44&gt;0),E44/I44/3600,0)</f>
        <v/>
      </c>
      <c r="K44">
        <f>IF(UPPER(A44)="DIRSEK",(H44*J44*J44/2)*IFERROR(INDEX(Sabitler!$B$2:$E$11,MATCH(B44,Sabitler!$A$2:$A$11,0),MATCH(C44,Sabitler!$B$1:$E$1,0)),0),0)</f>
        <v/>
      </c>
      <c r="L44">
        <f>IF(UPPER(A44)="KANAL",IF(AND(D44&gt;0,J44&gt;0),(((1000*((0.85*(0.11*(((0.03/D44)+(68/(66.4*D44*J44)))^0.25)))+0.0028))/D44)*(H44*J44*J44/2)*1.15)*1.18,0),0)</f>
        <v/>
      </c>
      <c r="M44">
        <f>IF(UPPER(A44)="JET-CAP",2.0*(1.2*J44*J44/2),0)</f>
        <v/>
      </c>
      <c r="P44">
        <f>IF(UPPER(A44)="DIRSEK",K44*MAX(F44,1),IF(UPPER(A44)="KANAL",L44*MAX(G44,0),IF(UPPER(A44)="JET-CAP",M44,IF(UPPER(A44)="EKIPMAN",O44,0))))</f>
        <v/>
      </c>
    </row>
    <row r="45">
      <c r="H45">
        <f>(101325*EXP(-Ayarlar!$B$3/8434))/((Ayarlar!$B$2+273.15)*287.05)</f>
        <v/>
      </c>
      <c r="I45">
        <f>IF(D45&gt;0,PI()*((D45/1000)^2)/4,0)</f>
        <v/>
      </c>
      <c r="J45">
        <f>IF(AND(I45&gt;0,E45&gt;0),E45/I45/3600,0)</f>
        <v/>
      </c>
      <c r="K45">
        <f>IF(UPPER(A45)="DIRSEK",(H45*J45*J45/2)*IFERROR(INDEX(Sabitler!$B$2:$E$11,MATCH(B45,Sabitler!$A$2:$A$11,0),MATCH(C45,Sabitler!$B$1:$E$1,0)),0),0)</f>
        <v/>
      </c>
      <c r="L45">
        <f>IF(UPPER(A45)="KANAL",IF(AND(D45&gt;0,J45&gt;0),(((1000*((0.85*(0.11*(((0.03/D45)+(68/(66.4*D45*J45)))^0.25)))+0.0028))/D45)*(H45*J45*J45/2)*1.15)*1.18,0),0)</f>
        <v/>
      </c>
      <c r="M45">
        <f>IF(UPPER(A45)="JET-CAP",2.0*(1.2*J45*J45/2),0)</f>
        <v/>
      </c>
      <c r="P45">
        <f>IF(UPPER(A45)="DIRSEK",K45*MAX(F45,1),IF(UPPER(A45)="KANAL",L45*MAX(G45,0),IF(UPPER(A45)="JET-CAP",M45,IF(UPPER(A45)="EKIPMAN",O45,0))))</f>
        <v/>
      </c>
    </row>
    <row r="46">
      <c r="H46">
        <f>(101325*EXP(-Ayarlar!$B$3/8434))/((Ayarlar!$B$2+273.15)*287.05)</f>
        <v/>
      </c>
      <c r="I46">
        <f>IF(D46&gt;0,PI()*((D46/1000)^2)/4,0)</f>
        <v/>
      </c>
      <c r="J46">
        <f>IF(AND(I46&gt;0,E46&gt;0),E46/I46/3600,0)</f>
        <v/>
      </c>
      <c r="K46">
        <f>IF(UPPER(A46)="DIRSEK",(H46*J46*J46/2)*IFERROR(INDEX(Sabitler!$B$2:$E$11,MATCH(B46,Sabitler!$A$2:$A$11,0),MATCH(C46,Sabitler!$B$1:$E$1,0)),0),0)</f>
        <v/>
      </c>
      <c r="L46">
        <f>IF(UPPER(A46)="KANAL",IF(AND(D46&gt;0,J46&gt;0),(((1000*((0.85*(0.11*(((0.03/D46)+(68/(66.4*D46*J46)))^0.25)))+0.0028))/D46)*(H46*J46*J46/2)*1.15)*1.18,0),0)</f>
        <v/>
      </c>
      <c r="M46">
        <f>IF(UPPER(A46)="JET-CAP",2.0*(1.2*J46*J46/2),0)</f>
        <v/>
      </c>
      <c r="P46">
        <f>IF(UPPER(A46)="DIRSEK",K46*MAX(F46,1),IF(UPPER(A46)="KANAL",L46*MAX(G46,0),IF(UPPER(A46)="JET-CAP",M46,IF(UPPER(A46)="EKIPMAN",O46,0))))</f>
        <v/>
      </c>
    </row>
    <row r="47">
      <c r="H47">
        <f>(101325*EXP(-Ayarlar!$B$3/8434))/((Ayarlar!$B$2+273.15)*287.05)</f>
        <v/>
      </c>
      <c r="I47">
        <f>IF(D47&gt;0,PI()*((D47/1000)^2)/4,0)</f>
        <v/>
      </c>
      <c r="J47">
        <f>IF(AND(I47&gt;0,E47&gt;0),E47/I47/3600,0)</f>
        <v/>
      </c>
      <c r="K47">
        <f>IF(UPPER(A47)="DIRSEK",(H47*J47*J47/2)*IFERROR(INDEX(Sabitler!$B$2:$E$11,MATCH(B47,Sabitler!$A$2:$A$11,0),MATCH(C47,Sabitler!$B$1:$E$1,0)),0),0)</f>
        <v/>
      </c>
      <c r="L47">
        <f>IF(UPPER(A47)="KANAL",IF(AND(D47&gt;0,J47&gt;0),(((1000*((0.85*(0.11*(((0.03/D47)+(68/(66.4*D47*J47)))^0.25)))+0.0028))/D47)*(H47*J47*J47/2)*1.15)*1.18,0),0)</f>
        <v/>
      </c>
      <c r="M47">
        <f>IF(UPPER(A47)="JET-CAP",2.0*(1.2*J47*J47/2),0)</f>
        <v/>
      </c>
      <c r="P47">
        <f>IF(UPPER(A47)="DIRSEK",K47*MAX(F47,1),IF(UPPER(A47)="KANAL",L47*MAX(G47,0),IF(UPPER(A47)="JET-CAP",M47,IF(UPPER(A47)="EKIPMAN",O47,0))))</f>
        <v/>
      </c>
    </row>
    <row r="48">
      <c r="H48">
        <f>(101325*EXP(-Ayarlar!$B$3/8434))/((Ayarlar!$B$2+273.15)*287.05)</f>
        <v/>
      </c>
      <c r="I48">
        <f>IF(D48&gt;0,PI()*((D48/1000)^2)/4,0)</f>
        <v/>
      </c>
      <c r="J48">
        <f>IF(AND(I48&gt;0,E48&gt;0),E48/I48/3600,0)</f>
        <v/>
      </c>
      <c r="K48">
        <f>IF(UPPER(A48)="DIRSEK",(H48*J48*J48/2)*IFERROR(INDEX(Sabitler!$B$2:$E$11,MATCH(B48,Sabitler!$A$2:$A$11,0),MATCH(C48,Sabitler!$B$1:$E$1,0)),0),0)</f>
        <v/>
      </c>
      <c r="L48">
        <f>IF(UPPER(A48)="KANAL",IF(AND(D48&gt;0,J48&gt;0),(((1000*((0.85*(0.11*(((0.03/D48)+(68/(66.4*D48*J48)))^0.25)))+0.0028))/D48)*(H48*J48*J48/2)*1.15)*1.18,0),0)</f>
        <v/>
      </c>
      <c r="M48">
        <f>IF(UPPER(A48)="JET-CAP",2.0*(1.2*J48*J48/2),0)</f>
        <v/>
      </c>
      <c r="P48">
        <f>IF(UPPER(A48)="DIRSEK",K48*MAX(F48,1),IF(UPPER(A48)="KANAL",L48*MAX(G48,0),IF(UPPER(A48)="JET-CAP",M48,IF(UPPER(A48)="EKIPMAN",O48,0))))</f>
        <v/>
      </c>
    </row>
    <row r="49">
      <c r="H49">
        <f>(101325*EXP(-Ayarlar!$B$3/8434))/((Ayarlar!$B$2+273.15)*287.05)</f>
        <v/>
      </c>
      <c r="I49">
        <f>IF(D49&gt;0,PI()*((D49/1000)^2)/4,0)</f>
        <v/>
      </c>
      <c r="J49">
        <f>IF(AND(I49&gt;0,E49&gt;0),E49/I49/3600,0)</f>
        <v/>
      </c>
      <c r="K49">
        <f>IF(UPPER(A49)="DIRSEK",(H49*J49*J49/2)*IFERROR(INDEX(Sabitler!$B$2:$E$11,MATCH(B49,Sabitler!$A$2:$A$11,0),MATCH(C49,Sabitler!$B$1:$E$1,0)),0),0)</f>
        <v/>
      </c>
      <c r="L49">
        <f>IF(UPPER(A49)="KANAL",IF(AND(D49&gt;0,J49&gt;0),(((1000*((0.85*(0.11*(((0.03/D49)+(68/(66.4*D49*J49)))^0.25)))+0.0028))/D49)*(H49*J49*J49/2)*1.15)*1.18,0),0)</f>
        <v/>
      </c>
      <c r="M49">
        <f>IF(UPPER(A49)="JET-CAP",2.0*(1.2*J49*J49/2),0)</f>
        <v/>
      </c>
      <c r="P49">
        <f>IF(UPPER(A49)="DIRSEK",K49*MAX(F49,1),IF(UPPER(A49)="KANAL",L49*MAX(G49,0),IF(UPPER(A49)="JET-CAP",M49,IF(UPPER(A49)="EKIPMAN",O49,0))))</f>
        <v/>
      </c>
    </row>
    <row r="50">
      <c r="H50">
        <f>(101325*EXP(-Ayarlar!$B$3/8434))/((Ayarlar!$B$2+273.15)*287.05)</f>
        <v/>
      </c>
      <c r="I50">
        <f>IF(D50&gt;0,PI()*((D50/1000)^2)/4,0)</f>
        <v/>
      </c>
      <c r="J50">
        <f>IF(AND(I50&gt;0,E50&gt;0),E50/I50/3600,0)</f>
        <v/>
      </c>
      <c r="K50">
        <f>IF(UPPER(A50)="DIRSEK",(H50*J50*J50/2)*IFERROR(INDEX(Sabitler!$B$2:$E$11,MATCH(B50,Sabitler!$A$2:$A$11,0),MATCH(C50,Sabitler!$B$1:$E$1,0)),0),0)</f>
        <v/>
      </c>
      <c r="L50">
        <f>IF(UPPER(A50)="KANAL",IF(AND(D50&gt;0,J50&gt;0),(((1000*((0.85*(0.11*(((0.03/D50)+(68/(66.4*D50*J50)))^0.25)))+0.0028))/D50)*(H50*J50*J50/2)*1.15)*1.18,0),0)</f>
        <v/>
      </c>
      <c r="M50">
        <f>IF(UPPER(A50)="JET-CAP",2.0*(1.2*J50*J50/2),0)</f>
        <v/>
      </c>
      <c r="P50">
        <f>IF(UPPER(A50)="DIRSEK",K50*MAX(F50,1),IF(UPPER(A50)="KANAL",L50*MAX(G50,0),IF(UPPER(A50)="JET-CAP",M50,IF(UPPER(A50)="EKIPMAN",O50,0))))</f>
        <v/>
      </c>
    </row>
    <row r="51">
      <c r="H51">
        <f>(101325*EXP(-Ayarlar!$B$3/8434))/((Ayarlar!$B$2+273.15)*287.05)</f>
        <v/>
      </c>
      <c r="I51">
        <f>IF(D51&gt;0,PI()*((D51/1000)^2)/4,0)</f>
        <v/>
      </c>
      <c r="J51">
        <f>IF(AND(I51&gt;0,E51&gt;0),E51/I51/3600,0)</f>
        <v/>
      </c>
      <c r="K51">
        <f>IF(UPPER(A51)="DIRSEK",(H51*J51*J51/2)*IFERROR(INDEX(Sabitler!$B$2:$E$11,MATCH(B51,Sabitler!$A$2:$A$11,0),MATCH(C51,Sabitler!$B$1:$E$1,0)),0),0)</f>
        <v/>
      </c>
      <c r="L51">
        <f>IF(UPPER(A51)="KANAL",IF(AND(D51&gt;0,J51&gt;0),(((1000*((0.85*(0.11*(((0.03/D51)+(68/(66.4*D51*J51)))^0.25)))+0.0028))/D51)*(H51*J51*J51/2)*1.15)*1.18,0),0)</f>
        <v/>
      </c>
      <c r="M51">
        <f>IF(UPPER(A51)="JET-CAP",2.0*(1.2*J51*J51/2),0)</f>
        <v/>
      </c>
      <c r="P51">
        <f>IF(UPPER(A51)="DIRSEK",K51*MAX(F51,1),IF(UPPER(A51)="KANAL",L51*MAX(G51,0),IF(UPPER(A51)="JET-CAP",M51,IF(UPPER(A51)="EKIPMAN",O51,0))))</f>
        <v/>
      </c>
    </row>
    <row r="52">
      <c r="H52">
        <f>(101325*EXP(-Ayarlar!$B$3/8434))/((Ayarlar!$B$2+273.15)*287.05)</f>
        <v/>
      </c>
      <c r="I52">
        <f>IF(D52&gt;0,PI()*((D52/1000)^2)/4,0)</f>
        <v/>
      </c>
      <c r="J52">
        <f>IF(AND(I52&gt;0,E52&gt;0),E52/I52/3600,0)</f>
        <v/>
      </c>
      <c r="K52">
        <f>IF(UPPER(A52)="DIRSEK",(H52*J52*J52/2)*IFERROR(INDEX(Sabitler!$B$2:$E$11,MATCH(B52,Sabitler!$A$2:$A$11,0),MATCH(C52,Sabitler!$B$1:$E$1,0)),0),0)</f>
        <v/>
      </c>
      <c r="L52">
        <f>IF(UPPER(A52)="KANAL",IF(AND(D52&gt;0,J52&gt;0),(((1000*((0.85*(0.11*(((0.03/D52)+(68/(66.4*D52*J52)))^0.25)))+0.0028))/D52)*(H52*J52*J52/2)*1.15)*1.18,0),0)</f>
        <v/>
      </c>
      <c r="M52">
        <f>IF(UPPER(A52)="JET-CAP",2.0*(1.2*J52*J52/2),0)</f>
        <v/>
      </c>
      <c r="P52">
        <f>IF(UPPER(A52)="DIRSEK",K52*MAX(F52,1),IF(UPPER(A52)="KANAL",L52*MAX(G52,0),IF(UPPER(A52)="JET-CAP",M52,IF(UPPER(A52)="EKIPMAN",O52,0))))</f>
        <v/>
      </c>
    </row>
    <row r="53">
      <c r="H53">
        <f>(101325*EXP(-Ayarlar!$B$3/8434))/((Ayarlar!$B$2+273.15)*287.05)</f>
        <v/>
      </c>
      <c r="I53">
        <f>IF(D53&gt;0,PI()*((D53/1000)^2)/4,0)</f>
        <v/>
      </c>
      <c r="J53">
        <f>IF(AND(I53&gt;0,E53&gt;0),E53/I53/3600,0)</f>
        <v/>
      </c>
      <c r="K53">
        <f>IF(UPPER(A53)="DIRSEK",(H53*J53*J53/2)*IFERROR(INDEX(Sabitler!$B$2:$E$11,MATCH(B53,Sabitler!$A$2:$A$11,0),MATCH(C53,Sabitler!$B$1:$E$1,0)),0),0)</f>
        <v/>
      </c>
      <c r="L53">
        <f>IF(UPPER(A53)="KANAL",IF(AND(D53&gt;0,J53&gt;0),(((1000*((0.85*(0.11*(((0.03/D53)+(68/(66.4*D53*J53)))^0.25)))+0.0028))/D53)*(H53*J53*J53/2)*1.15)*1.18,0),0)</f>
        <v/>
      </c>
      <c r="M53">
        <f>IF(UPPER(A53)="JET-CAP",2.0*(1.2*J53*J53/2),0)</f>
        <v/>
      </c>
      <c r="P53">
        <f>IF(UPPER(A53)="DIRSEK",K53*MAX(F53,1),IF(UPPER(A53)="KANAL",L53*MAX(G53,0),IF(UPPER(A53)="JET-CAP",M53,IF(UPPER(A53)="EKIPMAN",O53,0))))</f>
        <v/>
      </c>
    </row>
    <row r="54">
      <c r="H54">
        <f>(101325*EXP(-Ayarlar!$B$3/8434))/((Ayarlar!$B$2+273.15)*287.05)</f>
        <v/>
      </c>
      <c r="I54">
        <f>IF(D54&gt;0,PI()*((D54/1000)^2)/4,0)</f>
        <v/>
      </c>
      <c r="J54">
        <f>IF(AND(I54&gt;0,E54&gt;0),E54/I54/3600,0)</f>
        <v/>
      </c>
      <c r="K54">
        <f>IF(UPPER(A54)="DIRSEK",(H54*J54*J54/2)*IFERROR(INDEX(Sabitler!$B$2:$E$11,MATCH(B54,Sabitler!$A$2:$A$11,0),MATCH(C54,Sabitler!$B$1:$E$1,0)),0),0)</f>
        <v/>
      </c>
      <c r="L54">
        <f>IF(UPPER(A54)="KANAL",IF(AND(D54&gt;0,J54&gt;0),(((1000*((0.85*(0.11*(((0.03/D54)+(68/(66.4*D54*J54)))^0.25)))+0.0028))/D54)*(H54*J54*J54/2)*1.15)*1.18,0),0)</f>
        <v/>
      </c>
      <c r="M54">
        <f>IF(UPPER(A54)="JET-CAP",2.0*(1.2*J54*J54/2),0)</f>
        <v/>
      </c>
      <c r="P54">
        <f>IF(UPPER(A54)="DIRSEK",K54*MAX(F54,1),IF(UPPER(A54)="KANAL",L54*MAX(G54,0),IF(UPPER(A54)="JET-CAP",M54,IF(UPPER(A54)="EKIPMAN",O54,0))))</f>
        <v/>
      </c>
    </row>
    <row r="55">
      <c r="H55">
        <f>(101325*EXP(-Ayarlar!$B$3/8434))/((Ayarlar!$B$2+273.15)*287.05)</f>
        <v/>
      </c>
      <c r="I55">
        <f>IF(D55&gt;0,PI()*((D55/1000)^2)/4,0)</f>
        <v/>
      </c>
      <c r="J55">
        <f>IF(AND(I55&gt;0,E55&gt;0),E55/I55/3600,0)</f>
        <v/>
      </c>
      <c r="K55">
        <f>IF(UPPER(A55)="DIRSEK",(H55*J55*J55/2)*IFERROR(INDEX(Sabitler!$B$2:$E$11,MATCH(B55,Sabitler!$A$2:$A$11,0),MATCH(C55,Sabitler!$B$1:$E$1,0)),0),0)</f>
        <v/>
      </c>
      <c r="L55">
        <f>IF(UPPER(A55)="KANAL",IF(AND(D55&gt;0,J55&gt;0),(((1000*((0.85*(0.11*(((0.03/D55)+(68/(66.4*D55*J55)))^0.25)))+0.0028))/D55)*(H55*J55*J55/2)*1.15)*1.18,0),0)</f>
        <v/>
      </c>
      <c r="M55">
        <f>IF(UPPER(A55)="JET-CAP",2.0*(1.2*J55*J55/2),0)</f>
        <v/>
      </c>
      <c r="P55">
        <f>IF(UPPER(A55)="DIRSEK",K55*MAX(F55,1),IF(UPPER(A55)="KANAL",L55*MAX(G55,0),IF(UPPER(A55)="JET-CAP",M55,IF(UPPER(A55)="EKIPMAN",O55,0))))</f>
        <v/>
      </c>
    </row>
    <row r="56">
      <c r="H56">
        <f>(101325*EXP(-Ayarlar!$B$3/8434))/((Ayarlar!$B$2+273.15)*287.05)</f>
        <v/>
      </c>
      <c r="I56">
        <f>IF(D56&gt;0,PI()*((D56/1000)^2)/4,0)</f>
        <v/>
      </c>
      <c r="J56">
        <f>IF(AND(I56&gt;0,E56&gt;0),E56/I56/3600,0)</f>
        <v/>
      </c>
      <c r="K56">
        <f>IF(UPPER(A56)="DIRSEK",(H56*J56*J56/2)*IFERROR(INDEX(Sabitler!$B$2:$E$11,MATCH(B56,Sabitler!$A$2:$A$11,0),MATCH(C56,Sabitler!$B$1:$E$1,0)),0),0)</f>
        <v/>
      </c>
      <c r="L56">
        <f>IF(UPPER(A56)="KANAL",IF(AND(D56&gt;0,J56&gt;0),(((1000*((0.85*(0.11*(((0.03/D56)+(68/(66.4*D56*J56)))^0.25)))+0.0028))/D56)*(H56*J56*J56/2)*1.15)*1.18,0),0)</f>
        <v/>
      </c>
      <c r="M56">
        <f>IF(UPPER(A56)="JET-CAP",2.0*(1.2*J56*J56/2),0)</f>
        <v/>
      </c>
      <c r="P56">
        <f>IF(UPPER(A56)="DIRSEK",K56*MAX(F56,1),IF(UPPER(A56)="KANAL",L56*MAX(G56,0),IF(UPPER(A56)="JET-CAP",M56,IF(UPPER(A56)="EKIPMAN",O56,0))))</f>
        <v/>
      </c>
    </row>
    <row r="57">
      <c r="H57">
        <f>(101325*EXP(-Ayarlar!$B$3/8434))/((Ayarlar!$B$2+273.15)*287.05)</f>
        <v/>
      </c>
      <c r="I57">
        <f>IF(D57&gt;0,PI()*((D57/1000)^2)/4,0)</f>
        <v/>
      </c>
      <c r="J57">
        <f>IF(AND(I57&gt;0,E57&gt;0),E57/I57/3600,0)</f>
        <v/>
      </c>
      <c r="K57">
        <f>IF(UPPER(A57)="DIRSEK",(H57*J57*J57/2)*IFERROR(INDEX(Sabitler!$B$2:$E$11,MATCH(B57,Sabitler!$A$2:$A$11,0),MATCH(C57,Sabitler!$B$1:$E$1,0)),0),0)</f>
        <v/>
      </c>
      <c r="L57">
        <f>IF(UPPER(A57)="KANAL",IF(AND(D57&gt;0,J57&gt;0),(((1000*((0.85*(0.11*(((0.03/D57)+(68/(66.4*D57*J57)))^0.25)))+0.0028))/D57)*(H57*J57*J57/2)*1.15)*1.18,0),0)</f>
        <v/>
      </c>
      <c r="M57">
        <f>IF(UPPER(A57)="JET-CAP",2.0*(1.2*J57*J57/2),0)</f>
        <v/>
      </c>
      <c r="P57">
        <f>IF(UPPER(A57)="DIRSEK",K57*MAX(F57,1),IF(UPPER(A57)="KANAL",L57*MAX(G57,0),IF(UPPER(A57)="JET-CAP",M57,IF(UPPER(A57)="EKIPMAN",O57,0))))</f>
        <v/>
      </c>
    </row>
    <row r="58">
      <c r="H58">
        <f>(101325*EXP(-Ayarlar!$B$3/8434))/((Ayarlar!$B$2+273.15)*287.05)</f>
        <v/>
      </c>
      <c r="I58">
        <f>IF(D58&gt;0,PI()*((D58/1000)^2)/4,0)</f>
        <v/>
      </c>
      <c r="J58">
        <f>IF(AND(I58&gt;0,E58&gt;0),E58/I58/3600,0)</f>
        <v/>
      </c>
      <c r="K58">
        <f>IF(UPPER(A58)="DIRSEK",(H58*J58*J58/2)*IFERROR(INDEX(Sabitler!$B$2:$E$11,MATCH(B58,Sabitler!$A$2:$A$11,0),MATCH(C58,Sabitler!$B$1:$E$1,0)),0),0)</f>
        <v/>
      </c>
      <c r="L58">
        <f>IF(UPPER(A58)="KANAL",IF(AND(D58&gt;0,J58&gt;0),(((1000*((0.85*(0.11*(((0.03/D58)+(68/(66.4*D58*J58)))^0.25)))+0.0028))/D58)*(H58*J58*J58/2)*1.15)*1.18,0),0)</f>
        <v/>
      </c>
      <c r="M58">
        <f>IF(UPPER(A58)="JET-CAP",2.0*(1.2*J58*J58/2),0)</f>
        <v/>
      </c>
      <c r="P58">
        <f>IF(UPPER(A58)="DIRSEK",K58*MAX(F58,1),IF(UPPER(A58)="KANAL",L58*MAX(G58,0),IF(UPPER(A58)="JET-CAP",M58,IF(UPPER(A58)="EKIPMAN",O58,0))))</f>
        <v/>
      </c>
    </row>
    <row r="59">
      <c r="H59">
        <f>(101325*EXP(-Ayarlar!$B$3/8434))/((Ayarlar!$B$2+273.15)*287.05)</f>
        <v/>
      </c>
      <c r="I59">
        <f>IF(D59&gt;0,PI()*((D59/1000)^2)/4,0)</f>
        <v/>
      </c>
      <c r="J59">
        <f>IF(AND(I59&gt;0,E59&gt;0),E59/I59/3600,0)</f>
        <v/>
      </c>
      <c r="K59">
        <f>IF(UPPER(A59)="DIRSEK",(H59*J59*J59/2)*IFERROR(INDEX(Sabitler!$B$2:$E$11,MATCH(B59,Sabitler!$A$2:$A$11,0),MATCH(C59,Sabitler!$B$1:$E$1,0)),0),0)</f>
        <v/>
      </c>
      <c r="L59">
        <f>IF(UPPER(A59)="KANAL",IF(AND(D59&gt;0,J59&gt;0),(((1000*((0.85*(0.11*(((0.03/D59)+(68/(66.4*D59*J59)))^0.25)))+0.0028))/D59)*(H59*J59*J59/2)*1.15)*1.18,0),0)</f>
        <v/>
      </c>
      <c r="M59">
        <f>IF(UPPER(A59)="JET-CAP",2.0*(1.2*J59*J59/2),0)</f>
        <v/>
      </c>
      <c r="P59">
        <f>IF(UPPER(A59)="DIRSEK",K59*MAX(F59,1),IF(UPPER(A59)="KANAL",L59*MAX(G59,0),IF(UPPER(A59)="JET-CAP",M59,IF(UPPER(A59)="EKIPMAN",O59,0))))</f>
        <v/>
      </c>
    </row>
    <row r="60">
      <c r="H60">
        <f>(101325*EXP(-Ayarlar!$B$3/8434))/((Ayarlar!$B$2+273.15)*287.05)</f>
        <v/>
      </c>
      <c r="I60">
        <f>IF(D60&gt;0,PI()*((D60/1000)^2)/4,0)</f>
        <v/>
      </c>
      <c r="J60">
        <f>IF(AND(I60&gt;0,E60&gt;0),E60/I60/3600,0)</f>
        <v/>
      </c>
      <c r="K60">
        <f>IF(UPPER(A60)="DIRSEK",(H60*J60*J60/2)*IFERROR(INDEX(Sabitler!$B$2:$E$11,MATCH(B60,Sabitler!$A$2:$A$11,0),MATCH(C60,Sabitler!$B$1:$E$1,0)),0),0)</f>
        <v/>
      </c>
      <c r="L60">
        <f>IF(UPPER(A60)="KANAL",IF(AND(D60&gt;0,J60&gt;0),(((1000*((0.85*(0.11*(((0.03/D60)+(68/(66.4*D60*J60)))^0.25)))+0.0028))/D60)*(H60*J60*J60/2)*1.15)*1.18,0),0)</f>
        <v/>
      </c>
      <c r="M60">
        <f>IF(UPPER(A60)="JET-CAP",2.0*(1.2*J60*J60/2),0)</f>
        <v/>
      </c>
      <c r="P60">
        <f>IF(UPPER(A60)="DIRSEK",K60*MAX(F60,1),IF(UPPER(A60)="KANAL",L60*MAX(G60,0),IF(UPPER(A60)="JET-CAP",M60,IF(UPPER(A60)="EKIPMAN",O60,0))))</f>
        <v/>
      </c>
    </row>
    <row r="61">
      <c r="H61">
        <f>(101325*EXP(-Ayarlar!$B$3/8434))/((Ayarlar!$B$2+273.15)*287.05)</f>
        <v/>
      </c>
      <c r="I61">
        <f>IF(D61&gt;0,PI()*((D61/1000)^2)/4,0)</f>
        <v/>
      </c>
      <c r="J61">
        <f>IF(AND(I61&gt;0,E61&gt;0),E61/I61/3600,0)</f>
        <v/>
      </c>
      <c r="K61">
        <f>IF(UPPER(A61)="DIRSEK",(H61*J61*J61/2)*IFERROR(INDEX(Sabitler!$B$2:$E$11,MATCH(B61,Sabitler!$A$2:$A$11,0),MATCH(C61,Sabitler!$B$1:$E$1,0)),0),0)</f>
        <v/>
      </c>
      <c r="L61">
        <f>IF(UPPER(A61)="KANAL",IF(AND(D61&gt;0,J61&gt;0),(((1000*((0.85*(0.11*(((0.03/D61)+(68/(66.4*D61*J61)))^0.25)))+0.0028))/D61)*(H61*J61*J61/2)*1.15)*1.18,0),0)</f>
        <v/>
      </c>
      <c r="M61">
        <f>IF(UPPER(A61)="JET-CAP",2.0*(1.2*J61*J61/2),0)</f>
        <v/>
      </c>
      <c r="P61">
        <f>IF(UPPER(A61)="DIRSEK",K61*MAX(F61,1),IF(UPPER(A61)="KANAL",L61*MAX(G61,0),IF(UPPER(A61)="JET-CAP",M61,IF(UPPER(A61)="EKIPMAN",O61,0))))</f>
        <v/>
      </c>
    </row>
    <row r="62">
      <c r="H62">
        <f>(101325*EXP(-Ayarlar!$B$3/8434))/((Ayarlar!$B$2+273.15)*287.05)</f>
        <v/>
      </c>
      <c r="I62">
        <f>IF(D62&gt;0,PI()*((D62/1000)^2)/4,0)</f>
        <v/>
      </c>
      <c r="J62">
        <f>IF(AND(I62&gt;0,E62&gt;0),E62/I62/3600,0)</f>
        <v/>
      </c>
      <c r="K62">
        <f>IF(UPPER(A62)="DIRSEK",(H62*J62*J62/2)*IFERROR(INDEX(Sabitler!$B$2:$E$11,MATCH(B62,Sabitler!$A$2:$A$11,0),MATCH(C62,Sabitler!$B$1:$E$1,0)),0),0)</f>
        <v/>
      </c>
      <c r="L62">
        <f>IF(UPPER(A62)="KANAL",IF(AND(D62&gt;0,J62&gt;0),(((1000*((0.85*(0.11*(((0.03/D62)+(68/(66.4*D62*J62)))^0.25)))+0.0028))/D62)*(H62*J62*J62/2)*1.15)*1.18,0),0)</f>
        <v/>
      </c>
      <c r="M62">
        <f>IF(UPPER(A62)="JET-CAP",2.0*(1.2*J62*J62/2),0)</f>
        <v/>
      </c>
      <c r="P62">
        <f>IF(UPPER(A62)="DIRSEK",K62*MAX(F62,1),IF(UPPER(A62)="KANAL",L62*MAX(G62,0),IF(UPPER(A62)="JET-CAP",M62,IF(UPPER(A62)="EKIPMAN",O62,0))))</f>
        <v/>
      </c>
    </row>
    <row r="63">
      <c r="H63">
        <f>(101325*EXP(-Ayarlar!$B$3/8434))/((Ayarlar!$B$2+273.15)*287.05)</f>
        <v/>
      </c>
      <c r="I63">
        <f>IF(D63&gt;0,PI()*((D63/1000)^2)/4,0)</f>
        <v/>
      </c>
      <c r="J63">
        <f>IF(AND(I63&gt;0,E63&gt;0),E63/I63/3600,0)</f>
        <v/>
      </c>
      <c r="K63">
        <f>IF(UPPER(A63)="DIRSEK",(H63*J63*J63/2)*IFERROR(INDEX(Sabitler!$B$2:$E$11,MATCH(B63,Sabitler!$A$2:$A$11,0),MATCH(C63,Sabitler!$B$1:$E$1,0)),0),0)</f>
        <v/>
      </c>
      <c r="L63">
        <f>IF(UPPER(A63)="KANAL",IF(AND(D63&gt;0,J63&gt;0),(((1000*((0.85*(0.11*(((0.03/D63)+(68/(66.4*D63*J63)))^0.25)))+0.0028))/D63)*(H63*J63*J63/2)*1.15)*1.18,0),0)</f>
        <v/>
      </c>
      <c r="M63">
        <f>IF(UPPER(A63)="JET-CAP",2.0*(1.2*J63*J63/2),0)</f>
        <v/>
      </c>
      <c r="P63">
        <f>IF(UPPER(A63)="DIRSEK",K63*MAX(F63,1),IF(UPPER(A63)="KANAL",L63*MAX(G63,0),IF(UPPER(A63)="JET-CAP",M63,IF(UPPER(A63)="EKIPMAN",O63,0))))</f>
        <v/>
      </c>
    </row>
    <row r="64">
      <c r="H64">
        <f>(101325*EXP(-Ayarlar!$B$3/8434))/((Ayarlar!$B$2+273.15)*287.05)</f>
        <v/>
      </c>
      <c r="I64">
        <f>IF(D64&gt;0,PI()*((D64/1000)^2)/4,0)</f>
        <v/>
      </c>
      <c r="J64">
        <f>IF(AND(I64&gt;0,E64&gt;0),E64/I64/3600,0)</f>
        <v/>
      </c>
      <c r="K64">
        <f>IF(UPPER(A64)="DIRSEK",(H64*J64*J64/2)*IFERROR(INDEX(Sabitler!$B$2:$E$11,MATCH(B64,Sabitler!$A$2:$A$11,0),MATCH(C64,Sabitler!$B$1:$E$1,0)),0),0)</f>
        <v/>
      </c>
      <c r="L64">
        <f>IF(UPPER(A64)="KANAL",IF(AND(D64&gt;0,J64&gt;0),(((1000*((0.85*(0.11*(((0.03/D64)+(68/(66.4*D64*J64)))^0.25)))+0.0028))/D64)*(H64*J64*J64/2)*1.15)*1.18,0),0)</f>
        <v/>
      </c>
      <c r="M64">
        <f>IF(UPPER(A64)="JET-CAP",2.0*(1.2*J64*J64/2),0)</f>
        <v/>
      </c>
      <c r="P64">
        <f>IF(UPPER(A64)="DIRSEK",K64*MAX(F64,1),IF(UPPER(A64)="KANAL",L64*MAX(G64,0),IF(UPPER(A64)="JET-CAP",M64,IF(UPPER(A64)="EKIPMAN",O64,0))))</f>
        <v/>
      </c>
    </row>
    <row r="65">
      <c r="H65">
        <f>(101325*EXP(-Ayarlar!$B$3/8434))/((Ayarlar!$B$2+273.15)*287.05)</f>
        <v/>
      </c>
      <c r="I65">
        <f>IF(D65&gt;0,PI()*((D65/1000)^2)/4,0)</f>
        <v/>
      </c>
      <c r="J65">
        <f>IF(AND(I65&gt;0,E65&gt;0),E65/I65/3600,0)</f>
        <v/>
      </c>
      <c r="K65">
        <f>IF(UPPER(A65)="DIRSEK",(H65*J65*J65/2)*IFERROR(INDEX(Sabitler!$B$2:$E$11,MATCH(B65,Sabitler!$A$2:$A$11,0),MATCH(C65,Sabitler!$B$1:$E$1,0)),0),0)</f>
        <v/>
      </c>
      <c r="L65">
        <f>IF(UPPER(A65)="KANAL",IF(AND(D65&gt;0,J65&gt;0),(((1000*((0.85*(0.11*(((0.03/D65)+(68/(66.4*D65*J65)))^0.25)))+0.0028))/D65)*(H65*J65*J65/2)*1.15)*1.18,0),0)</f>
        <v/>
      </c>
      <c r="M65">
        <f>IF(UPPER(A65)="JET-CAP",2.0*(1.2*J65*J65/2),0)</f>
        <v/>
      </c>
      <c r="P65">
        <f>IF(UPPER(A65)="DIRSEK",K65*MAX(F65,1),IF(UPPER(A65)="KANAL",L65*MAX(G65,0),IF(UPPER(A65)="JET-CAP",M65,IF(UPPER(A65)="EKIPMAN",O65,0))))</f>
        <v/>
      </c>
    </row>
    <row r="66">
      <c r="H66">
        <f>(101325*EXP(-Ayarlar!$B$3/8434))/((Ayarlar!$B$2+273.15)*287.05)</f>
        <v/>
      </c>
      <c r="I66">
        <f>IF(D66&gt;0,PI()*((D66/1000)^2)/4,0)</f>
        <v/>
      </c>
      <c r="J66">
        <f>IF(AND(I66&gt;0,E66&gt;0),E66/I66/3600,0)</f>
        <v/>
      </c>
      <c r="K66">
        <f>IF(UPPER(A66)="DIRSEK",(H66*J66*J66/2)*IFERROR(INDEX(Sabitler!$B$2:$E$11,MATCH(B66,Sabitler!$A$2:$A$11,0),MATCH(C66,Sabitler!$B$1:$E$1,0)),0),0)</f>
        <v/>
      </c>
      <c r="L66">
        <f>IF(UPPER(A66)="KANAL",IF(AND(D66&gt;0,J66&gt;0),(((1000*((0.85*(0.11*(((0.03/D66)+(68/(66.4*D66*J66)))^0.25)))+0.0028))/D66)*(H66*J66*J66/2)*1.15)*1.18,0),0)</f>
        <v/>
      </c>
      <c r="M66">
        <f>IF(UPPER(A66)="JET-CAP",2.0*(1.2*J66*J66/2),0)</f>
        <v/>
      </c>
      <c r="P66">
        <f>IF(UPPER(A66)="DIRSEK",K66*MAX(F66,1),IF(UPPER(A66)="KANAL",L66*MAX(G66,0),IF(UPPER(A66)="JET-CAP",M66,IF(UPPER(A66)="EKIPMAN",O66,0))))</f>
        <v/>
      </c>
    </row>
    <row r="67">
      <c r="H67">
        <f>(101325*EXP(-Ayarlar!$B$3/8434))/((Ayarlar!$B$2+273.15)*287.05)</f>
        <v/>
      </c>
      <c r="I67">
        <f>IF(D67&gt;0,PI()*((D67/1000)^2)/4,0)</f>
        <v/>
      </c>
      <c r="J67">
        <f>IF(AND(I67&gt;0,E67&gt;0),E67/I67/3600,0)</f>
        <v/>
      </c>
      <c r="K67">
        <f>IF(UPPER(A67)="DIRSEK",(H67*J67*J67/2)*IFERROR(INDEX(Sabitler!$B$2:$E$11,MATCH(B67,Sabitler!$A$2:$A$11,0),MATCH(C67,Sabitler!$B$1:$E$1,0)),0),0)</f>
        <v/>
      </c>
      <c r="L67">
        <f>IF(UPPER(A67)="KANAL",IF(AND(D67&gt;0,J67&gt;0),(((1000*((0.85*(0.11*(((0.03/D67)+(68/(66.4*D67*J67)))^0.25)))+0.0028))/D67)*(H67*J67*J67/2)*1.15)*1.18,0),0)</f>
        <v/>
      </c>
      <c r="M67">
        <f>IF(UPPER(A67)="JET-CAP",2.0*(1.2*J67*J67/2),0)</f>
        <v/>
      </c>
      <c r="P67">
        <f>IF(UPPER(A67)="DIRSEK",K67*MAX(F67,1),IF(UPPER(A67)="KANAL",L67*MAX(G67,0),IF(UPPER(A67)="JET-CAP",M67,IF(UPPER(A67)="EKIPMAN",O67,0))))</f>
        <v/>
      </c>
    </row>
    <row r="68">
      <c r="H68">
        <f>(101325*EXP(-Ayarlar!$B$3/8434))/((Ayarlar!$B$2+273.15)*287.05)</f>
        <v/>
      </c>
      <c r="I68">
        <f>IF(D68&gt;0,PI()*((D68/1000)^2)/4,0)</f>
        <v/>
      </c>
      <c r="J68">
        <f>IF(AND(I68&gt;0,E68&gt;0),E68/I68/3600,0)</f>
        <v/>
      </c>
      <c r="K68">
        <f>IF(UPPER(A68)="DIRSEK",(H68*J68*J68/2)*IFERROR(INDEX(Sabitler!$B$2:$E$11,MATCH(B68,Sabitler!$A$2:$A$11,0),MATCH(C68,Sabitler!$B$1:$E$1,0)),0),0)</f>
        <v/>
      </c>
      <c r="L68">
        <f>IF(UPPER(A68)="KANAL",IF(AND(D68&gt;0,J68&gt;0),(((1000*((0.85*(0.11*(((0.03/D68)+(68/(66.4*D68*J68)))^0.25)))+0.0028))/D68)*(H68*J68*J68/2)*1.15)*1.18,0),0)</f>
        <v/>
      </c>
      <c r="M68">
        <f>IF(UPPER(A68)="JET-CAP",2.0*(1.2*J68*J68/2),0)</f>
        <v/>
      </c>
      <c r="P68">
        <f>IF(UPPER(A68)="DIRSEK",K68*MAX(F68,1),IF(UPPER(A68)="KANAL",L68*MAX(G68,0),IF(UPPER(A68)="JET-CAP",M68,IF(UPPER(A68)="EKIPMAN",O68,0))))</f>
        <v/>
      </c>
    </row>
    <row r="69">
      <c r="H69">
        <f>(101325*EXP(-Ayarlar!$B$3/8434))/((Ayarlar!$B$2+273.15)*287.05)</f>
        <v/>
      </c>
      <c r="I69">
        <f>IF(D69&gt;0,PI()*((D69/1000)^2)/4,0)</f>
        <v/>
      </c>
      <c r="J69">
        <f>IF(AND(I69&gt;0,E69&gt;0),E69/I69/3600,0)</f>
        <v/>
      </c>
      <c r="K69">
        <f>IF(UPPER(A69)="DIRSEK",(H69*J69*J69/2)*IFERROR(INDEX(Sabitler!$B$2:$E$11,MATCH(B69,Sabitler!$A$2:$A$11,0),MATCH(C69,Sabitler!$B$1:$E$1,0)),0),0)</f>
        <v/>
      </c>
      <c r="L69">
        <f>IF(UPPER(A69)="KANAL",IF(AND(D69&gt;0,J69&gt;0),(((1000*((0.85*(0.11*(((0.03/D69)+(68/(66.4*D69*J69)))^0.25)))+0.0028))/D69)*(H69*J69*J69/2)*1.15)*1.18,0),0)</f>
        <v/>
      </c>
      <c r="M69">
        <f>IF(UPPER(A69)="JET-CAP",2.0*(1.2*J69*J69/2),0)</f>
        <v/>
      </c>
      <c r="P69">
        <f>IF(UPPER(A69)="DIRSEK",K69*MAX(F69,1),IF(UPPER(A69)="KANAL",L69*MAX(G69,0),IF(UPPER(A69)="JET-CAP",M69,IF(UPPER(A69)="EKIPMAN",O69,0))))</f>
        <v/>
      </c>
    </row>
    <row r="70">
      <c r="H70">
        <f>(101325*EXP(-Ayarlar!$B$3/8434))/((Ayarlar!$B$2+273.15)*287.05)</f>
        <v/>
      </c>
      <c r="I70">
        <f>IF(D70&gt;0,PI()*((D70/1000)^2)/4,0)</f>
        <v/>
      </c>
      <c r="J70">
        <f>IF(AND(I70&gt;0,E70&gt;0),E70/I70/3600,0)</f>
        <v/>
      </c>
      <c r="K70">
        <f>IF(UPPER(A70)="DIRSEK",(H70*J70*J70/2)*IFERROR(INDEX(Sabitler!$B$2:$E$11,MATCH(B70,Sabitler!$A$2:$A$11,0),MATCH(C70,Sabitler!$B$1:$E$1,0)),0),0)</f>
        <v/>
      </c>
      <c r="L70">
        <f>IF(UPPER(A70)="KANAL",IF(AND(D70&gt;0,J70&gt;0),(((1000*((0.85*(0.11*(((0.03/D70)+(68/(66.4*D70*J70)))^0.25)))+0.0028))/D70)*(H70*J70*J70/2)*1.15)*1.18,0),0)</f>
        <v/>
      </c>
      <c r="M70">
        <f>IF(UPPER(A70)="JET-CAP",2.0*(1.2*J70*J70/2),0)</f>
        <v/>
      </c>
      <c r="P70">
        <f>IF(UPPER(A70)="DIRSEK",K70*MAX(F70,1),IF(UPPER(A70)="KANAL",L70*MAX(G70,0),IF(UPPER(A70)="JET-CAP",M70,IF(UPPER(A70)="EKIPMAN",O70,0))))</f>
        <v/>
      </c>
    </row>
    <row r="71">
      <c r="H71">
        <f>(101325*EXP(-Ayarlar!$B$3/8434))/((Ayarlar!$B$2+273.15)*287.05)</f>
        <v/>
      </c>
      <c r="I71">
        <f>IF(D71&gt;0,PI()*((D71/1000)^2)/4,0)</f>
        <v/>
      </c>
      <c r="J71">
        <f>IF(AND(I71&gt;0,E71&gt;0),E71/I71/3600,0)</f>
        <v/>
      </c>
      <c r="K71">
        <f>IF(UPPER(A71)="DIRSEK",(H71*J71*J71/2)*IFERROR(INDEX(Sabitler!$B$2:$E$11,MATCH(B71,Sabitler!$A$2:$A$11,0),MATCH(C71,Sabitler!$B$1:$E$1,0)),0),0)</f>
        <v/>
      </c>
      <c r="L71">
        <f>IF(UPPER(A71)="KANAL",IF(AND(D71&gt;0,J71&gt;0),(((1000*((0.85*(0.11*(((0.03/D71)+(68/(66.4*D71*J71)))^0.25)))+0.0028))/D71)*(H71*J71*J71/2)*1.15)*1.18,0),0)</f>
        <v/>
      </c>
      <c r="M71">
        <f>IF(UPPER(A71)="JET-CAP",2.0*(1.2*J71*J71/2),0)</f>
        <v/>
      </c>
      <c r="P71">
        <f>IF(UPPER(A71)="DIRSEK",K71*MAX(F71,1),IF(UPPER(A71)="KANAL",L71*MAX(G71,0),IF(UPPER(A71)="JET-CAP",M71,IF(UPPER(A71)="EKIPMAN",O71,0))))</f>
        <v/>
      </c>
    </row>
    <row r="72">
      <c r="H72">
        <f>(101325*EXP(-Ayarlar!$B$3/8434))/((Ayarlar!$B$2+273.15)*287.05)</f>
        <v/>
      </c>
      <c r="I72">
        <f>IF(D72&gt;0,PI()*((D72/1000)^2)/4,0)</f>
        <v/>
      </c>
      <c r="J72">
        <f>IF(AND(I72&gt;0,E72&gt;0),E72/I72/3600,0)</f>
        <v/>
      </c>
      <c r="K72">
        <f>IF(UPPER(A72)="DIRSEK",(H72*J72*J72/2)*IFERROR(INDEX(Sabitler!$B$2:$E$11,MATCH(B72,Sabitler!$A$2:$A$11,0),MATCH(C72,Sabitler!$B$1:$E$1,0)),0),0)</f>
        <v/>
      </c>
      <c r="L72">
        <f>IF(UPPER(A72)="KANAL",IF(AND(D72&gt;0,J72&gt;0),(((1000*((0.85*(0.11*(((0.03/D72)+(68/(66.4*D72*J72)))^0.25)))+0.0028))/D72)*(H72*J72*J72/2)*1.15)*1.18,0),0)</f>
        <v/>
      </c>
      <c r="M72">
        <f>IF(UPPER(A72)="JET-CAP",2.0*(1.2*J72*J72/2),0)</f>
        <v/>
      </c>
      <c r="P72">
        <f>IF(UPPER(A72)="DIRSEK",K72*MAX(F72,1),IF(UPPER(A72)="KANAL",L72*MAX(G72,0),IF(UPPER(A72)="JET-CAP",M72,IF(UPPER(A72)="EKIPMAN",O72,0))))</f>
        <v/>
      </c>
    </row>
    <row r="73">
      <c r="H73">
        <f>(101325*EXP(-Ayarlar!$B$3/8434))/((Ayarlar!$B$2+273.15)*287.05)</f>
        <v/>
      </c>
      <c r="I73">
        <f>IF(D73&gt;0,PI()*((D73/1000)^2)/4,0)</f>
        <v/>
      </c>
      <c r="J73">
        <f>IF(AND(I73&gt;0,E73&gt;0),E73/I73/3600,0)</f>
        <v/>
      </c>
      <c r="K73">
        <f>IF(UPPER(A73)="DIRSEK",(H73*J73*J73/2)*IFERROR(INDEX(Sabitler!$B$2:$E$11,MATCH(B73,Sabitler!$A$2:$A$11,0),MATCH(C73,Sabitler!$B$1:$E$1,0)),0),0)</f>
        <v/>
      </c>
      <c r="L73">
        <f>IF(UPPER(A73)="KANAL",IF(AND(D73&gt;0,J73&gt;0),(((1000*((0.85*(0.11*(((0.03/D73)+(68/(66.4*D73*J73)))^0.25)))+0.0028))/D73)*(H73*J73*J73/2)*1.15)*1.18,0),0)</f>
        <v/>
      </c>
      <c r="M73">
        <f>IF(UPPER(A73)="JET-CAP",2.0*(1.2*J73*J73/2),0)</f>
        <v/>
      </c>
      <c r="P73">
        <f>IF(UPPER(A73)="DIRSEK",K73*MAX(F73,1),IF(UPPER(A73)="KANAL",L73*MAX(G73,0),IF(UPPER(A73)="JET-CAP",M73,IF(UPPER(A73)="EKIPMAN",O73,0))))</f>
        <v/>
      </c>
    </row>
    <row r="74">
      <c r="H74">
        <f>(101325*EXP(-Ayarlar!$B$3/8434))/((Ayarlar!$B$2+273.15)*287.05)</f>
        <v/>
      </c>
      <c r="I74">
        <f>IF(D74&gt;0,PI()*((D74/1000)^2)/4,0)</f>
        <v/>
      </c>
      <c r="J74">
        <f>IF(AND(I74&gt;0,E74&gt;0),E74/I74/3600,0)</f>
        <v/>
      </c>
      <c r="K74">
        <f>IF(UPPER(A74)="DIRSEK",(H74*J74*J74/2)*IFERROR(INDEX(Sabitler!$B$2:$E$11,MATCH(B74,Sabitler!$A$2:$A$11,0),MATCH(C74,Sabitler!$B$1:$E$1,0)),0),0)</f>
        <v/>
      </c>
      <c r="L74">
        <f>IF(UPPER(A74)="KANAL",IF(AND(D74&gt;0,J74&gt;0),(((1000*((0.85*(0.11*(((0.03/D74)+(68/(66.4*D74*J74)))^0.25)))+0.0028))/D74)*(H74*J74*J74/2)*1.15)*1.18,0),0)</f>
        <v/>
      </c>
      <c r="M74">
        <f>IF(UPPER(A74)="JET-CAP",2.0*(1.2*J74*J74/2),0)</f>
        <v/>
      </c>
      <c r="P74">
        <f>IF(UPPER(A74)="DIRSEK",K74*MAX(F74,1),IF(UPPER(A74)="KANAL",L74*MAX(G74,0),IF(UPPER(A74)="JET-CAP",M74,IF(UPPER(A74)="EKIPMAN",O74,0))))</f>
        <v/>
      </c>
    </row>
    <row r="75">
      <c r="H75">
        <f>(101325*EXP(-Ayarlar!$B$3/8434))/((Ayarlar!$B$2+273.15)*287.05)</f>
        <v/>
      </c>
      <c r="I75">
        <f>IF(D75&gt;0,PI()*((D75/1000)^2)/4,0)</f>
        <v/>
      </c>
      <c r="J75">
        <f>IF(AND(I75&gt;0,E75&gt;0),E75/I75/3600,0)</f>
        <v/>
      </c>
      <c r="K75">
        <f>IF(UPPER(A75)="DIRSEK",(H75*J75*J75/2)*IFERROR(INDEX(Sabitler!$B$2:$E$11,MATCH(B75,Sabitler!$A$2:$A$11,0),MATCH(C75,Sabitler!$B$1:$E$1,0)),0),0)</f>
        <v/>
      </c>
      <c r="L75">
        <f>IF(UPPER(A75)="KANAL",IF(AND(D75&gt;0,J75&gt;0),(((1000*((0.85*(0.11*(((0.03/D75)+(68/(66.4*D75*J75)))^0.25)))+0.0028))/D75)*(H75*J75*J75/2)*1.15)*1.18,0),0)</f>
        <v/>
      </c>
      <c r="M75">
        <f>IF(UPPER(A75)="JET-CAP",2.0*(1.2*J75*J75/2),0)</f>
        <v/>
      </c>
      <c r="P75">
        <f>IF(UPPER(A75)="DIRSEK",K75*MAX(F75,1),IF(UPPER(A75)="KANAL",L75*MAX(G75,0),IF(UPPER(A75)="JET-CAP",M75,IF(UPPER(A75)="EKIPMAN",O75,0))))</f>
        <v/>
      </c>
    </row>
    <row r="76">
      <c r="H76">
        <f>(101325*EXP(-Ayarlar!$B$3/8434))/((Ayarlar!$B$2+273.15)*287.05)</f>
        <v/>
      </c>
      <c r="I76">
        <f>IF(D76&gt;0,PI()*((D76/1000)^2)/4,0)</f>
        <v/>
      </c>
      <c r="J76">
        <f>IF(AND(I76&gt;0,E76&gt;0),E76/I76/3600,0)</f>
        <v/>
      </c>
      <c r="K76">
        <f>IF(UPPER(A76)="DIRSEK",(H76*J76*J76/2)*IFERROR(INDEX(Sabitler!$B$2:$E$11,MATCH(B76,Sabitler!$A$2:$A$11,0),MATCH(C76,Sabitler!$B$1:$E$1,0)),0),0)</f>
        <v/>
      </c>
      <c r="L76">
        <f>IF(UPPER(A76)="KANAL",IF(AND(D76&gt;0,J76&gt;0),(((1000*((0.85*(0.11*(((0.03/D76)+(68/(66.4*D76*J76)))^0.25)))+0.0028))/D76)*(H76*J76*J76/2)*1.15)*1.18,0),0)</f>
        <v/>
      </c>
      <c r="M76">
        <f>IF(UPPER(A76)="JET-CAP",2.0*(1.2*J76*J76/2),0)</f>
        <v/>
      </c>
      <c r="P76">
        <f>IF(UPPER(A76)="DIRSEK",K76*MAX(F76,1),IF(UPPER(A76)="KANAL",L76*MAX(G76,0),IF(UPPER(A76)="JET-CAP",M76,IF(UPPER(A76)="EKIPMAN",O76,0))))</f>
        <v/>
      </c>
    </row>
    <row r="77">
      <c r="H77">
        <f>(101325*EXP(-Ayarlar!$B$3/8434))/((Ayarlar!$B$2+273.15)*287.05)</f>
        <v/>
      </c>
      <c r="I77">
        <f>IF(D77&gt;0,PI()*((D77/1000)^2)/4,0)</f>
        <v/>
      </c>
      <c r="J77">
        <f>IF(AND(I77&gt;0,E77&gt;0),E77/I77/3600,0)</f>
        <v/>
      </c>
      <c r="K77">
        <f>IF(UPPER(A77)="DIRSEK",(H77*J77*J77/2)*IFERROR(INDEX(Sabitler!$B$2:$E$11,MATCH(B77,Sabitler!$A$2:$A$11,0),MATCH(C77,Sabitler!$B$1:$E$1,0)),0),0)</f>
        <v/>
      </c>
      <c r="L77">
        <f>IF(UPPER(A77)="KANAL",IF(AND(D77&gt;0,J77&gt;0),(((1000*((0.85*(0.11*(((0.03/D77)+(68/(66.4*D77*J77)))^0.25)))+0.0028))/D77)*(H77*J77*J77/2)*1.15)*1.18,0),0)</f>
        <v/>
      </c>
      <c r="M77">
        <f>IF(UPPER(A77)="JET-CAP",2.0*(1.2*J77*J77/2),0)</f>
        <v/>
      </c>
      <c r="P77">
        <f>IF(UPPER(A77)="DIRSEK",K77*MAX(F77,1),IF(UPPER(A77)="KANAL",L77*MAX(G77,0),IF(UPPER(A77)="JET-CAP",M77,IF(UPPER(A77)="EKIPMAN",O77,0))))</f>
        <v/>
      </c>
    </row>
    <row r="78">
      <c r="H78">
        <f>(101325*EXP(-Ayarlar!$B$3/8434))/((Ayarlar!$B$2+273.15)*287.05)</f>
        <v/>
      </c>
      <c r="I78">
        <f>IF(D78&gt;0,PI()*((D78/1000)^2)/4,0)</f>
        <v/>
      </c>
      <c r="J78">
        <f>IF(AND(I78&gt;0,E78&gt;0),E78/I78/3600,0)</f>
        <v/>
      </c>
      <c r="K78">
        <f>IF(UPPER(A78)="DIRSEK",(H78*J78*J78/2)*IFERROR(INDEX(Sabitler!$B$2:$E$11,MATCH(B78,Sabitler!$A$2:$A$11,0),MATCH(C78,Sabitler!$B$1:$E$1,0)),0),0)</f>
        <v/>
      </c>
      <c r="L78">
        <f>IF(UPPER(A78)="KANAL",IF(AND(D78&gt;0,J78&gt;0),(((1000*((0.85*(0.11*(((0.03/D78)+(68/(66.4*D78*J78)))^0.25)))+0.0028))/D78)*(H78*J78*J78/2)*1.15)*1.18,0),0)</f>
        <v/>
      </c>
      <c r="M78">
        <f>IF(UPPER(A78)="JET-CAP",2.0*(1.2*J78*J78/2),0)</f>
        <v/>
      </c>
      <c r="P78">
        <f>IF(UPPER(A78)="DIRSEK",K78*MAX(F78,1),IF(UPPER(A78)="KANAL",L78*MAX(G78,0),IF(UPPER(A78)="JET-CAP",M78,IF(UPPER(A78)="EKIPMAN",O78,0))))</f>
        <v/>
      </c>
    </row>
    <row r="79">
      <c r="H79">
        <f>(101325*EXP(-Ayarlar!$B$3/8434))/((Ayarlar!$B$2+273.15)*287.05)</f>
        <v/>
      </c>
      <c r="I79">
        <f>IF(D79&gt;0,PI()*((D79/1000)^2)/4,0)</f>
        <v/>
      </c>
      <c r="J79">
        <f>IF(AND(I79&gt;0,E79&gt;0),E79/I79/3600,0)</f>
        <v/>
      </c>
      <c r="K79">
        <f>IF(UPPER(A79)="DIRSEK",(H79*J79*J79/2)*IFERROR(INDEX(Sabitler!$B$2:$E$11,MATCH(B79,Sabitler!$A$2:$A$11,0),MATCH(C79,Sabitler!$B$1:$E$1,0)),0),0)</f>
        <v/>
      </c>
      <c r="L79">
        <f>IF(UPPER(A79)="KANAL",IF(AND(D79&gt;0,J79&gt;0),(((1000*((0.85*(0.11*(((0.03/D79)+(68/(66.4*D79*J79)))^0.25)))+0.0028))/D79)*(H79*J79*J79/2)*1.15)*1.18,0),0)</f>
        <v/>
      </c>
      <c r="M79">
        <f>IF(UPPER(A79)="JET-CAP",2.0*(1.2*J79*J79/2),0)</f>
        <v/>
      </c>
      <c r="P79">
        <f>IF(UPPER(A79)="DIRSEK",K79*MAX(F79,1),IF(UPPER(A79)="KANAL",L79*MAX(G79,0),IF(UPPER(A79)="JET-CAP",M79,IF(UPPER(A79)="EKIPMAN",O79,0))))</f>
        <v/>
      </c>
    </row>
    <row r="80">
      <c r="H80">
        <f>(101325*EXP(-Ayarlar!$B$3/8434))/((Ayarlar!$B$2+273.15)*287.05)</f>
        <v/>
      </c>
      <c r="I80">
        <f>IF(D80&gt;0,PI()*((D80/1000)^2)/4,0)</f>
        <v/>
      </c>
      <c r="J80">
        <f>IF(AND(I80&gt;0,E80&gt;0),E80/I80/3600,0)</f>
        <v/>
      </c>
      <c r="K80">
        <f>IF(UPPER(A80)="DIRSEK",(H80*J80*J80/2)*IFERROR(INDEX(Sabitler!$B$2:$E$11,MATCH(B80,Sabitler!$A$2:$A$11,0),MATCH(C80,Sabitler!$B$1:$E$1,0)),0),0)</f>
        <v/>
      </c>
      <c r="L80">
        <f>IF(UPPER(A80)="KANAL",IF(AND(D80&gt;0,J80&gt;0),(((1000*((0.85*(0.11*(((0.03/D80)+(68/(66.4*D80*J80)))^0.25)))+0.0028))/D80)*(H80*J80*J80/2)*1.15)*1.18,0),0)</f>
        <v/>
      </c>
      <c r="M80">
        <f>IF(UPPER(A80)="JET-CAP",2.0*(1.2*J80*J80/2),0)</f>
        <v/>
      </c>
      <c r="P80">
        <f>IF(UPPER(A80)="DIRSEK",K80*MAX(F80,1),IF(UPPER(A80)="KANAL",L80*MAX(G80,0),IF(UPPER(A80)="JET-CAP",M80,IF(UPPER(A80)="EKIPMAN",O80,0))))</f>
        <v/>
      </c>
    </row>
    <row r="81">
      <c r="H81">
        <f>(101325*EXP(-Ayarlar!$B$3/8434))/((Ayarlar!$B$2+273.15)*287.05)</f>
        <v/>
      </c>
      <c r="I81">
        <f>IF(D81&gt;0,PI()*((D81/1000)^2)/4,0)</f>
        <v/>
      </c>
      <c r="J81">
        <f>IF(AND(I81&gt;0,E81&gt;0),E81/I81/3600,0)</f>
        <v/>
      </c>
      <c r="K81">
        <f>IF(UPPER(A81)="DIRSEK",(H81*J81*J81/2)*IFERROR(INDEX(Sabitler!$B$2:$E$11,MATCH(B81,Sabitler!$A$2:$A$11,0),MATCH(C81,Sabitler!$B$1:$E$1,0)),0),0)</f>
        <v/>
      </c>
      <c r="L81">
        <f>IF(UPPER(A81)="KANAL",IF(AND(D81&gt;0,J81&gt;0),(((1000*((0.85*(0.11*(((0.03/D81)+(68/(66.4*D81*J81)))^0.25)))+0.0028))/D81)*(H81*J81*J81/2)*1.15)*1.18,0),0)</f>
        <v/>
      </c>
      <c r="M81">
        <f>IF(UPPER(A81)="JET-CAP",2.0*(1.2*J81*J81/2),0)</f>
        <v/>
      </c>
      <c r="P81">
        <f>IF(UPPER(A81)="DIRSEK",K81*MAX(F81,1),IF(UPPER(A81)="KANAL",L81*MAX(G81,0),IF(UPPER(A81)="JET-CAP",M81,IF(UPPER(A81)="EKIPMAN",O81,0))))</f>
        <v/>
      </c>
    </row>
    <row r="82">
      <c r="H82">
        <f>(101325*EXP(-Ayarlar!$B$3/8434))/((Ayarlar!$B$2+273.15)*287.05)</f>
        <v/>
      </c>
      <c r="I82">
        <f>IF(D82&gt;0,PI()*((D82/1000)^2)/4,0)</f>
        <v/>
      </c>
      <c r="J82">
        <f>IF(AND(I82&gt;0,E82&gt;0),E82/I82/3600,0)</f>
        <v/>
      </c>
      <c r="K82">
        <f>IF(UPPER(A82)="DIRSEK",(H82*J82*J82/2)*IFERROR(INDEX(Sabitler!$B$2:$E$11,MATCH(B82,Sabitler!$A$2:$A$11,0),MATCH(C82,Sabitler!$B$1:$E$1,0)),0),0)</f>
        <v/>
      </c>
      <c r="L82">
        <f>IF(UPPER(A82)="KANAL",IF(AND(D82&gt;0,J82&gt;0),(((1000*((0.85*(0.11*(((0.03/D82)+(68/(66.4*D82*J82)))^0.25)))+0.0028))/D82)*(H82*J82*J82/2)*1.15)*1.18,0),0)</f>
        <v/>
      </c>
      <c r="M82">
        <f>IF(UPPER(A82)="JET-CAP",2.0*(1.2*J82*J82/2),0)</f>
        <v/>
      </c>
      <c r="P82">
        <f>IF(UPPER(A82)="DIRSEK",K82*MAX(F82,1),IF(UPPER(A82)="KANAL",L82*MAX(G82,0),IF(UPPER(A82)="JET-CAP",M82,IF(UPPER(A82)="EKIPMAN",O82,0))))</f>
        <v/>
      </c>
    </row>
    <row r="83">
      <c r="H83">
        <f>(101325*EXP(-Ayarlar!$B$3/8434))/((Ayarlar!$B$2+273.15)*287.05)</f>
        <v/>
      </c>
      <c r="I83">
        <f>IF(D83&gt;0,PI()*((D83/1000)^2)/4,0)</f>
        <v/>
      </c>
      <c r="J83">
        <f>IF(AND(I83&gt;0,E83&gt;0),E83/I83/3600,0)</f>
        <v/>
      </c>
      <c r="K83">
        <f>IF(UPPER(A83)="DIRSEK",(H83*J83*J83/2)*IFERROR(INDEX(Sabitler!$B$2:$E$11,MATCH(B83,Sabitler!$A$2:$A$11,0),MATCH(C83,Sabitler!$B$1:$E$1,0)),0),0)</f>
        <v/>
      </c>
      <c r="L83">
        <f>IF(UPPER(A83)="KANAL",IF(AND(D83&gt;0,J83&gt;0),(((1000*((0.85*(0.11*(((0.03/D83)+(68/(66.4*D83*J83)))^0.25)))+0.0028))/D83)*(H83*J83*J83/2)*1.15)*1.18,0),0)</f>
        <v/>
      </c>
      <c r="M83">
        <f>IF(UPPER(A83)="JET-CAP",2.0*(1.2*J83*J83/2),0)</f>
        <v/>
      </c>
      <c r="P83">
        <f>IF(UPPER(A83)="DIRSEK",K83*MAX(F83,1),IF(UPPER(A83)="KANAL",L83*MAX(G83,0),IF(UPPER(A83)="JET-CAP",M83,IF(UPPER(A83)="EKIPMAN",O83,0))))</f>
        <v/>
      </c>
    </row>
    <row r="84">
      <c r="H84">
        <f>(101325*EXP(-Ayarlar!$B$3/8434))/((Ayarlar!$B$2+273.15)*287.05)</f>
        <v/>
      </c>
      <c r="I84">
        <f>IF(D84&gt;0,PI()*((D84/1000)^2)/4,0)</f>
        <v/>
      </c>
      <c r="J84">
        <f>IF(AND(I84&gt;0,E84&gt;0),E84/I84/3600,0)</f>
        <v/>
      </c>
      <c r="K84">
        <f>IF(UPPER(A84)="DIRSEK",(H84*J84*J84/2)*IFERROR(INDEX(Sabitler!$B$2:$E$11,MATCH(B84,Sabitler!$A$2:$A$11,0),MATCH(C84,Sabitler!$B$1:$E$1,0)),0),0)</f>
        <v/>
      </c>
      <c r="L84">
        <f>IF(UPPER(A84)="KANAL",IF(AND(D84&gt;0,J84&gt;0),(((1000*((0.85*(0.11*(((0.03/D84)+(68/(66.4*D84*J84)))^0.25)))+0.0028))/D84)*(H84*J84*J84/2)*1.15)*1.18,0),0)</f>
        <v/>
      </c>
      <c r="M84">
        <f>IF(UPPER(A84)="JET-CAP",2.0*(1.2*J84*J84/2),0)</f>
        <v/>
      </c>
      <c r="P84">
        <f>IF(UPPER(A84)="DIRSEK",K84*MAX(F84,1),IF(UPPER(A84)="KANAL",L84*MAX(G84,0),IF(UPPER(A84)="JET-CAP",M84,IF(UPPER(A84)="EKIPMAN",O84,0))))</f>
        <v/>
      </c>
    </row>
    <row r="85">
      <c r="H85">
        <f>(101325*EXP(-Ayarlar!$B$3/8434))/((Ayarlar!$B$2+273.15)*287.05)</f>
        <v/>
      </c>
      <c r="I85">
        <f>IF(D85&gt;0,PI()*((D85/1000)^2)/4,0)</f>
        <v/>
      </c>
      <c r="J85">
        <f>IF(AND(I85&gt;0,E85&gt;0),E85/I85/3600,0)</f>
        <v/>
      </c>
      <c r="K85">
        <f>IF(UPPER(A85)="DIRSEK",(H85*J85*J85/2)*IFERROR(INDEX(Sabitler!$B$2:$E$11,MATCH(B85,Sabitler!$A$2:$A$11,0),MATCH(C85,Sabitler!$B$1:$E$1,0)),0),0)</f>
        <v/>
      </c>
      <c r="L85">
        <f>IF(UPPER(A85)="KANAL",IF(AND(D85&gt;0,J85&gt;0),(((1000*((0.85*(0.11*(((0.03/D85)+(68/(66.4*D85*J85)))^0.25)))+0.0028))/D85)*(H85*J85*J85/2)*1.15)*1.18,0),0)</f>
        <v/>
      </c>
      <c r="M85">
        <f>IF(UPPER(A85)="JET-CAP",2.0*(1.2*J85*J85/2),0)</f>
        <v/>
      </c>
      <c r="P85">
        <f>IF(UPPER(A85)="DIRSEK",K85*MAX(F85,1),IF(UPPER(A85)="KANAL",L85*MAX(G85,0),IF(UPPER(A85)="JET-CAP",M85,IF(UPPER(A85)="EKIPMAN",O85,0))))</f>
        <v/>
      </c>
    </row>
    <row r="86">
      <c r="H86">
        <f>(101325*EXP(-Ayarlar!$B$3/8434))/((Ayarlar!$B$2+273.15)*287.05)</f>
        <v/>
      </c>
      <c r="I86">
        <f>IF(D86&gt;0,PI()*((D86/1000)^2)/4,0)</f>
        <v/>
      </c>
      <c r="J86">
        <f>IF(AND(I86&gt;0,E86&gt;0),E86/I86/3600,0)</f>
        <v/>
      </c>
      <c r="K86">
        <f>IF(UPPER(A86)="DIRSEK",(H86*J86*J86/2)*IFERROR(INDEX(Sabitler!$B$2:$E$11,MATCH(B86,Sabitler!$A$2:$A$11,0),MATCH(C86,Sabitler!$B$1:$E$1,0)),0),0)</f>
        <v/>
      </c>
      <c r="L86">
        <f>IF(UPPER(A86)="KANAL",IF(AND(D86&gt;0,J86&gt;0),(((1000*((0.85*(0.11*(((0.03/D86)+(68/(66.4*D86*J86)))^0.25)))+0.0028))/D86)*(H86*J86*J86/2)*1.15)*1.18,0),0)</f>
        <v/>
      </c>
      <c r="M86">
        <f>IF(UPPER(A86)="JET-CAP",2.0*(1.2*J86*J86/2),0)</f>
        <v/>
      </c>
      <c r="P86">
        <f>IF(UPPER(A86)="DIRSEK",K86*MAX(F86,1),IF(UPPER(A86)="KANAL",L86*MAX(G86,0),IF(UPPER(A86)="JET-CAP",M86,IF(UPPER(A86)="EKIPMAN",O86,0))))</f>
        <v/>
      </c>
    </row>
    <row r="87">
      <c r="H87">
        <f>(101325*EXP(-Ayarlar!$B$3/8434))/((Ayarlar!$B$2+273.15)*287.05)</f>
        <v/>
      </c>
      <c r="I87">
        <f>IF(D87&gt;0,PI()*((D87/1000)^2)/4,0)</f>
        <v/>
      </c>
      <c r="J87">
        <f>IF(AND(I87&gt;0,E87&gt;0),E87/I87/3600,0)</f>
        <v/>
      </c>
      <c r="K87">
        <f>IF(UPPER(A87)="DIRSEK",(H87*J87*J87/2)*IFERROR(INDEX(Sabitler!$B$2:$E$11,MATCH(B87,Sabitler!$A$2:$A$11,0),MATCH(C87,Sabitler!$B$1:$E$1,0)),0),0)</f>
        <v/>
      </c>
      <c r="L87">
        <f>IF(UPPER(A87)="KANAL",IF(AND(D87&gt;0,J87&gt;0),(((1000*((0.85*(0.11*(((0.03/D87)+(68/(66.4*D87*J87)))^0.25)))+0.0028))/D87)*(H87*J87*J87/2)*1.15)*1.18,0),0)</f>
        <v/>
      </c>
      <c r="M87">
        <f>IF(UPPER(A87)="JET-CAP",2.0*(1.2*J87*J87/2),0)</f>
        <v/>
      </c>
      <c r="P87">
        <f>IF(UPPER(A87)="DIRSEK",K87*MAX(F87,1),IF(UPPER(A87)="KANAL",L87*MAX(G87,0),IF(UPPER(A87)="JET-CAP",M87,IF(UPPER(A87)="EKIPMAN",O87,0))))</f>
        <v/>
      </c>
    </row>
    <row r="88">
      <c r="H88">
        <f>(101325*EXP(-Ayarlar!$B$3/8434))/((Ayarlar!$B$2+273.15)*287.05)</f>
        <v/>
      </c>
      <c r="I88">
        <f>IF(D88&gt;0,PI()*((D88/1000)^2)/4,0)</f>
        <v/>
      </c>
      <c r="J88">
        <f>IF(AND(I88&gt;0,E88&gt;0),E88/I88/3600,0)</f>
        <v/>
      </c>
      <c r="K88">
        <f>IF(UPPER(A88)="DIRSEK",(H88*J88*J88/2)*IFERROR(INDEX(Sabitler!$B$2:$E$11,MATCH(B88,Sabitler!$A$2:$A$11,0),MATCH(C88,Sabitler!$B$1:$E$1,0)),0),0)</f>
        <v/>
      </c>
      <c r="L88">
        <f>IF(UPPER(A88)="KANAL",IF(AND(D88&gt;0,J88&gt;0),(((1000*((0.85*(0.11*(((0.03/D88)+(68/(66.4*D88*J88)))^0.25)))+0.0028))/D88)*(H88*J88*J88/2)*1.15)*1.18,0),0)</f>
        <v/>
      </c>
      <c r="M88">
        <f>IF(UPPER(A88)="JET-CAP",2.0*(1.2*J88*J88/2),0)</f>
        <v/>
      </c>
      <c r="P88">
        <f>IF(UPPER(A88)="DIRSEK",K88*MAX(F88,1),IF(UPPER(A88)="KANAL",L88*MAX(G88,0),IF(UPPER(A88)="JET-CAP",M88,IF(UPPER(A88)="EKIPMAN",O88,0))))</f>
        <v/>
      </c>
    </row>
    <row r="89">
      <c r="H89">
        <f>(101325*EXP(-Ayarlar!$B$3/8434))/((Ayarlar!$B$2+273.15)*287.05)</f>
        <v/>
      </c>
      <c r="I89">
        <f>IF(D89&gt;0,PI()*((D89/1000)^2)/4,0)</f>
        <v/>
      </c>
      <c r="J89">
        <f>IF(AND(I89&gt;0,E89&gt;0),E89/I89/3600,0)</f>
        <v/>
      </c>
      <c r="K89">
        <f>IF(UPPER(A89)="DIRSEK",(H89*J89*J89/2)*IFERROR(INDEX(Sabitler!$B$2:$E$11,MATCH(B89,Sabitler!$A$2:$A$11,0),MATCH(C89,Sabitler!$B$1:$E$1,0)),0),0)</f>
        <v/>
      </c>
      <c r="L89">
        <f>IF(UPPER(A89)="KANAL",IF(AND(D89&gt;0,J89&gt;0),(((1000*((0.85*(0.11*(((0.03/D89)+(68/(66.4*D89*J89)))^0.25)))+0.0028))/D89)*(H89*J89*J89/2)*1.15)*1.18,0),0)</f>
        <v/>
      </c>
      <c r="M89">
        <f>IF(UPPER(A89)="JET-CAP",2.0*(1.2*J89*J89/2),0)</f>
        <v/>
      </c>
      <c r="P89">
        <f>IF(UPPER(A89)="DIRSEK",K89*MAX(F89,1),IF(UPPER(A89)="KANAL",L89*MAX(G89,0),IF(UPPER(A89)="JET-CAP",M89,IF(UPPER(A89)="EKIPMAN",O89,0))))</f>
        <v/>
      </c>
    </row>
    <row r="90">
      <c r="H90">
        <f>(101325*EXP(-Ayarlar!$B$3/8434))/((Ayarlar!$B$2+273.15)*287.05)</f>
        <v/>
      </c>
      <c r="I90">
        <f>IF(D90&gt;0,PI()*((D90/1000)^2)/4,0)</f>
        <v/>
      </c>
      <c r="J90">
        <f>IF(AND(I90&gt;0,E90&gt;0),E90/I90/3600,0)</f>
        <v/>
      </c>
      <c r="K90">
        <f>IF(UPPER(A90)="DIRSEK",(H90*J90*J90/2)*IFERROR(INDEX(Sabitler!$B$2:$E$11,MATCH(B90,Sabitler!$A$2:$A$11,0),MATCH(C90,Sabitler!$B$1:$E$1,0)),0),0)</f>
        <v/>
      </c>
      <c r="L90">
        <f>IF(UPPER(A90)="KANAL",IF(AND(D90&gt;0,J90&gt;0),(((1000*((0.85*(0.11*(((0.03/D90)+(68/(66.4*D90*J90)))^0.25)))+0.0028))/D90)*(H90*J90*J90/2)*1.15)*1.18,0),0)</f>
        <v/>
      </c>
      <c r="M90">
        <f>IF(UPPER(A90)="JET-CAP",2.0*(1.2*J90*J90/2),0)</f>
        <v/>
      </c>
      <c r="P90">
        <f>IF(UPPER(A90)="DIRSEK",K90*MAX(F90,1),IF(UPPER(A90)="KANAL",L90*MAX(G90,0),IF(UPPER(A90)="JET-CAP",M90,IF(UPPER(A90)="EKIPMAN",O90,0))))</f>
        <v/>
      </c>
    </row>
    <row r="91">
      <c r="H91">
        <f>(101325*EXP(-Ayarlar!$B$3/8434))/((Ayarlar!$B$2+273.15)*287.05)</f>
        <v/>
      </c>
      <c r="I91">
        <f>IF(D91&gt;0,PI()*((D91/1000)^2)/4,0)</f>
        <v/>
      </c>
      <c r="J91">
        <f>IF(AND(I91&gt;0,E91&gt;0),E91/I91/3600,0)</f>
        <v/>
      </c>
      <c r="K91">
        <f>IF(UPPER(A91)="DIRSEK",(H91*J91*J91/2)*IFERROR(INDEX(Sabitler!$B$2:$E$11,MATCH(B91,Sabitler!$A$2:$A$11,0),MATCH(C91,Sabitler!$B$1:$E$1,0)),0),0)</f>
        <v/>
      </c>
      <c r="L91">
        <f>IF(UPPER(A91)="KANAL",IF(AND(D91&gt;0,J91&gt;0),(((1000*((0.85*(0.11*(((0.03/D91)+(68/(66.4*D91*J91)))^0.25)))+0.0028))/D91)*(H91*J91*J91/2)*1.15)*1.18,0),0)</f>
        <v/>
      </c>
      <c r="M91">
        <f>IF(UPPER(A91)="JET-CAP",2.0*(1.2*J91*J91/2),0)</f>
        <v/>
      </c>
      <c r="P91">
        <f>IF(UPPER(A91)="DIRSEK",K91*MAX(F91,1),IF(UPPER(A91)="KANAL",L91*MAX(G91,0),IF(UPPER(A91)="JET-CAP",M91,IF(UPPER(A91)="EKIPMAN",O91,0))))</f>
        <v/>
      </c>
    </row>
    <row r="92">
      <c r="H92">
        <f>(101325*EXP(-Ayarlar!$B$3/8434))/((Ayarlar!$B$2+273.15)*287.05)</f>
        <v/>
      </c>
      <c r="I92">
        <f>IF(D92&gt;0,PI()*((D92/1000)^2)/4,0)</f>
        <v/>
      </c>
      <c r="J92">
        <f>IF(AND(I92&gt;0,E92&gt;0),E92/I92/3600,0)</f>
        <v/>
      </c>
      <c r="K92">
        <f>IF(UPPER(A92)="DIRSEK",(H92*J92*J92/2)*IFERROR(INDEX(Sabitler!$B$2:$E$11,MATCH(B92,Sabitler!$A$2:$A$11,0),MATCH(C92,Sabitler!$B$1:$E$1,0)),0),0)</f>
        <v/>
      </c>
      <c r="L92">
        <f>IF(UPPER(A92)="KANAL",IF(AND(D92&gt;0,J92&gt;0),(((1000*((0.85*(0.11*(((0.03/D92)+(68/(66.4*D92*J92)))^0.25)))+0.0028))/D92)*(H92*J92*J92/2)*1.15)*1.18,0),0)</f>
        <v/>
      </c>
      <c r="M92">
        <f>IF(UPPER(A92)="JET-CAP",2.0*(1.2*J92*J92/2),0)</f>
        <v/>
      </c>
      <c r="P92">
        <f>IF(UPPER(A92)="DIRSEK",K92*MAX(F92,1),IF(UPPER(A92)="KANAL",L92*MAX(G92,0),IF(UPPER(A92)="JET-CAP",M92,IF(UPPER(A92)="EKIPMAN",O92,0))))</f>
        <v/>
      </c>
    </row>
    <row r="93">
      <c r="H93">
        <f>(101325*EXP(-Ayarlar!$B$3/8434))/((Ayarlar!$B$2+273.15)*287.05)</f>
        <v/>
      </c>
      <c r="I93">
        <f>IF(D93&gt;0,PI()*((D93/1000)^2)/4,0)</f>
        <v/>
      </c>
      <c r="J93">
        <f>IF(AND(I93&gt;0,E93&gt;0),E93/I93/3600,0)</f>
        <v/>
      </c>
      <c r="K93">
        <f>IF(UPPER(A93)="DIRSEK",(H93*J93*J93/2)*IFERROR(INDEX(Sabitler!$B$2:$E$11,MATCH(B93,Sabitler!$A$2:$A$11,0),MATCH(C93,Sabitler!$B$1:$E$1,0)),0),0)</f>
        <v/>
      </c>
      <c r="L93">
        <f>IF(UPPER(A93)="KANAL",IF(AND(D93&gt;0,J93&gt;0),(((1000*((0.85*(0.11*(((0.03/D93)+(68/(66.4*D93*J93)))^0.25)))+0.0028))/D93)*(H93*J93*J93/2)*1.15)*1.18,0),0)</f>
        <v/>
      </c>
      <c r="M93">
        <f>IF(UPPER(A93)="JET-CAP",2.0*(1.2*J93*J93/2),0)</f>
        <v/>
      </c>
      <c r="P93">
        <f>IF(UPPER(A93)="DIRSEK",K93*MAX(F93,1),IF(UPPER(A93)="KANAL",L93*MAX(G93,0),IF(UPPER(A93)="JET-CAP",M93,IF(UPPER(A93)="EKIPMAN",O93,0))))</f>
        <v/>
      </c>
    </row>
    <row r="94">
      <c r="H94">
        <f>(101325*EXP(-Ayarlar!$B$3/8434))/((Ayarlar!$B$2+273.15)*287.05)</f>
        <v/>
      </c>
      <c r="I94">
        <f>IF(D94&gt;0,PI()*((D94/1000)^2)/4,0)</f>
        <v/>
      </c>
      <c r="J94">
        <f>IF(AND(I94&gt;0,E94&gt;0),E94/I94/3600,0)</f>
        <v/>
      </c>
      <c r="K94">
        <f>IF(UPPER(A94)="DIRSEK",(H94*J94*J94/2)*IFERROR(INDEX(Sabitler!$B$2:$E$11,MATCH(B94,Sabitler!$A$2:$A$11,0),MATCH(C94,Sabitler!$B$1:$E$1,0)),0),0)</f>
        <v/>
      </c>
      <c r="L94">
        <f>IF(UPPER(A94)="KANAL",IF(AND(D94&gt;0,J94&gt;0),(((1000*((0.85*(0.11*(((0.03/D94)+(68/(66.4*D94*J94)))^0.25)))+0.0028))/D94)*(H94*J94*J94/2)*1.15)*1.18,0),0)</f>
        <v/>
      </c>
      <c r="M94">
        <f>IF(UPPER(A94)="JET-CAP",2.0*(1.2*J94*J94/2),0)</f>
        <v/>
      </c>
      <c r="P94">
        <f>IF(UPPER(A94)="DIRSEK",K94*MAX(F94,1),IF(UPPER(A94)="KANAL",L94*MAX(G94,0),IF(UPPER(A94)="JET-CAP",M94,IF(UPPER(A94)="EKIPMAN",O94,0))))</f>
        <v/>
      </c>
    </row>
    <row r="95">
      <c r="H95">
        <f>(101325*EXP(-Ayarlar!$B$3/8434))/((Ayarlar!$B$2+273.15)*287.05)</f>
        <v/>
      </c>
      <c r="I95">
        <f>IF(D95&gt;0,PI()*((D95/1000)^2)/4,0)</f>
        <v/>
      </c>
      <c r="J95">
        <f>IF(AND(I95&gt;0,E95&gt;0),E95/I95/3600,0)</f>
        <v/>
      </c>
      <c r="K95">
        <f>IF(UPPER(A95)="DIRSEK",(H95*J95*J95/2)*IFERROR(INDEX(Sabitler!$B$2:$E$11,MATCH(B95,Sabitler!$A$2:$A$11,0),MATCH(C95,Sabitler!$B$1:$E$1,0)),0),0)</f>
        <v/>
      </c>
      <c r="L95">
        <f>IF(UPPER(A95)="KANAL",IF(AND(D95&gt;0,J95&gt;0),(((1000*((0.85*(0.11*(((0.03/D95)+(68/(66.4*D95*J95)))^0.25)))+0.0028))/D95)*(H95*J95*J95/2)*1.15)*1.18,0),0)</f>
        <v/>
      </c>
      <c r="M95">
        <f>IF(UPPER(A95)="JET-CAP",2.0*(1.2*J95*J95/2),0)</f>
        <v/>
      </c>
      <c r="P95">
        <f>IF(UPPER(A95)="DIRSEK",K95*MAX(F95,1),IF(UPPER(A95)="KANAL",L95*MAX(G95,0),IF(UPPER(A95)="JET-CAP",M95,IF(UPPER(A95)="EKIPMAN",O95,0))))</f>
        <v/>
      </c>
    </row>
    <row r="96">
      <c r="H96">
        <f>(101325*EXP(-Ayarlar!$B$3/8434))/((Ayarlar!$B$2+273.15)*287.05)</f>
        <v/>
      </c>
      <c r="I96">
        <f>IF(D96&gt;0,PI()*((D96/1000)^2)/4,0)</f>
        <v/>
      </c>
      <c r="J96">
        <f>IF(AND(I96&gt;0,E96&gt;0),E96/I96/3600,0)</f>
        <v/>
      </c>
      <c r="K96">
        <f>IF(UPPER(A96)="DIRSEK",(H96*J96*J96/2)*IFERROR(INDEX(Sabitler!$B$2:$E$11,MATCH(B96,Sabitler!$A$2:$A$11,0),MATCH(C96,Sabitler!$B$1:$E$1,0)),0),0)</f>
        <v/>
      </c>
      <c r="L96">
        <f>IF(UPPER(A96)="KANAL",IF(AND(D96&gt;0,J96&gt;0),(((1000*((0.85*(0.11*(((0.03/D96)+(68/(66.4*D96*J96)))^0.25)))+0.0028))/D96)*(H96*J96*J96/2)*1.15)*1.18,0),0)</f>
        <v/>
      </c>
      <c r="M96">
        <f>IF(UPPER(A96)="JET-CAP",2.0*(1.2*J96*J96/2),0)</f>
        <v/>
      </c>
      <c r="P96">
        <f>IF(UPPER(A96)="DIRSEK",K96*MAX(F96,1),IF(UPPER(A96)="KANAL",L96*MAX(G96,0),IF(UPPER(A96)="JET-CAP",M96,IF(UPPER(A96)="EKIPMAN",O96,0))))</f>
        <v/>
      </c>
    </row>
    <row r="97">
      <c r="H97">
        <f>(101325*EXP(-Ayarlar!$B$3/8434))/((Ayarlar!$B$2+273.15)*287.05)</f>
        <v/>
      </c>
      <c r="I97">
        <f>IF(D97&gt;0,PI()*((D97/1000)^2)/4,0)</f>
        <v/>
      </c>
      <c r="J97">
        <f>IF(AND(I97&gt;0,E97&gt;0),E97/I97/3600,0)</f>
        <v/>
      </c>
      <c r="K97">
        <f>IF(UPPER(A97)="DIRSEK",(H97*J97*J97/2)*IFERROR(INDEX(Sabitler!$B$2:$E$11,MATCH(B97,Sabitler!$A$2:$A$11,0),MATCH(C97,Sabitler!$B$1:$E$1,0)),0),0)</f>
        <v/>
      </c>
      <c r="L97">
        <f>IF(UPPER(A97)="KANAL",IF(AND(D97&gt;0,J97&gt;0),(((1000*((0.85*(0.11*(((0.03/D97)+(68/(66.4*D97*J97)))^0.25)))+0.0028))/D97)*(H97*J97*J97/2)*1.15)*1.18,0),0)</f>
        <v/>
      </c>
      <c r="M97">
        <f>IF(UPPER(A97)="JET-CAP",2.0*(1.2*J97*J97/2),0)</f>
        <v/>
      </c>
      <c r="P97">
        <f>IF(UPPER(A97)="DIRSEK",K97*MAX(F97,1),IF(UPPER(A97)="KANAL",L97*MAX(G97,0),IF(UPPER(A97)="JET-CAP",M97,IF(UPPER(A97)="EKIPMAN",O97,0))))</f>
        <v/>
      </c>
    </row>
    <row r="98">
      <c r="H98">
        <f>(101325*EXP(-Ayarlar!$B$3/8434))/((Ayarlar!$B$2+273.15)*287.05)</f>
        <v/>
      </c>
      <c r="I98">
        <f>IF(D98&gt;0,PI()*((D98/1000)^2)/4,0)</f>
        <v/>
      </c>
      <c r="J98">
        <f>IF(AND(I98&gt;0,E98&gt;0),E98/I98/3600,0)</f>
        <v/>
      </c>
      <c r="K98">
        <f>IF(UPPER(A98)="DIRSEK",(H98*J98*J98/2)*IFERROR(INDEX(Sabitler!$B$2:$E$11,MATCH(B98,Sabitler!$A$2:$A$11,0),MATCH(C98,Sabitler!$B$1:$E$1,0)),0),0)</f>
        <v/>
      </c>
      <c r="L98">
        <f>IF(UPPER(A98)="KANAL",IF(AND(D98&gt;0,J98&gt;0),(((1000*((0.85*(0.11*(((0.03/D98)+(68/(66.4*D98*J98)))^0.25)))+0.0028))/D98)*(H98*J98*J98/2)*1.15)*1.18,0),0)</f>
        <v/>
      </c>
      <c r="M98">
        <f>IF(UPPER(A98)="JET-CAP",2.0*(1.2*J98*J98/2),0)</f>
        <v/>
      </c>
      <c r="P98">
        <f>IF(UPPER(A98)="DIRSEK",K98*MAX(F98,1),IF(UPPER(A98)="KANAL",L98*MAX(G98,0),IF(UPPER(A98)="JET-CAP",M98,IF(UPPER(A98)="EKIPMAN",O98,0))))</f>
        <v/>
      </c>
    </row>
    <row r="99">
      <c r="H99">
        <f>(101325*EXP(-Ayarlar!$B$3/8434))/((Ayarlar!$B$2+273.15)*287.05)</f>
        <v/>
      </c>
      <c r="I99">
        <f>IF(D99&gt;0,PI()*((D99/1000)^2)/4,0)</f>
        <v/>
      </c>
      <c r="J99">
        <f>IF(AND(I99&gt;0,E99&gt;0),E99/I99/3600,0)</f>
        <v/>
      </c>
      <c r="K99">
        <f>IF(UPPER(A99)="DIRSEK",(H99*J99*J99/2)*IFERROR(INDEX(Sabitler!$B$2:$E$11,MATCH(B99,Sabitler!$A$2:$A$11,0),MATCH(C99,Sabitler!$B$1:$E$1,0)),0),0)</f>
        <v/>
      </c>
      <c r="L99">
        <f>IF(UPPER(A99)="KANAL",IF(AND(D99&gt;0,J99&gt;0),(((1000*((0.85*(0.11*(((0.03/D99)+(68/(66.4*D99*J99)))^0.25)))+0.0028))/D99)*(H99*J99*J99/2)*1.15)*1.18,0),0)</f>
        <v/>
      </c>
      <c r="M99">
        <f>IF(UPPER(A99)="JET-CAP",2.0*(1.2*J99*J99/2),0)</f>
        <v/>
      </c>
      <c r="P99">
        <f>IF(UPPER(A99)="DIRSEK",K99*MAX(F99,1),IF(UPPER(A99)="KANAL",L99*MAX(G99,0),IF(UPPER(A99)="JET-CAP",M99,IF(UPPER(A99)="EKIPMAN",O99,0))))</f>
        <v/>
      </c>
    </row>
    <row r="100">
      <c r="H100">
        <f>(101325*EXP(-Ayarlar!$B$3/8434))/((Ayarlar!$B$2+273.15)*287.05)</f>
        <v/>
      </c>
      <c r="I100">
        <f>IF(D100&gt;0,PI()*((D100/1000)^2)/4,0)</f>
        <v/>
      </c>
      <c r="J100">
        <f>IF(AND(I100&gt;0,E100&gt;0),E100/I100/3600,0)</f>
        <v/>
      </c>
      <c r="K100">
        <f>IF(UPPER(A100)="DIRSEK",(H100*J100*J100/2)*IFERROR(INDEX(Sabitler!$B$2:$E$11,MATCH(B100,Sabitler!$A$2:$A$11,0),MATCH(C100,Sabitler!$B$1:$E$1,0)),0),0)</f>
        <v/>
      </c>
      <c r="L100">
        <f>IF(UPPER(A100)="KANAL",IF(AND(D100&gt;0,J100&gt;0),(((1000*((0.85*(0.11*(((0.03/D100)+(68/(66.4*D100*J100)))^0.25)))+0.0028))/D100)*(H100*J100*J100/2)*1.15)*1.18,0),0)</f>
        <v/>
      </c>
      <c r="M100">
        <f>IF(UPPER(A100)="JET-CAP",2.0*(1.2*J100*J100/2),0)</f>
        <v/>
      </c>
      <c r="P100">
        <f>IF(UPPER(A100)="DIRSEK",K100*MAX(F100,1),IF(UPPER(A100)="KANAL",L100*MAX(G100,0),IF(UPPER(A100)="JET-CAP",M100,IF(UPPER(A100)="EKIPMAN",O100,0))))</f>
        <v/>
      </c>
    </row>
    <row r="101">
      <c r="H101">
        <f>(101325*EXP(-Ayarlar!$B$3/8434))/((Ayarlar!$B$2+273.15)*287.05)</f>
        <v/>
      </c>
      <c r="I101">
        <f>IF(D101&gt;0,PI()*((D101/1000)^2)/4,0)</f>
        <v/>
      </c>
      <c r="J101">
        <f>IF(AND(I101&gt;0,E101&gt;0),E101/I101/3600,0)</f>
        <v/>
      </c>
      <c r="K101">
        <f>IF(UPPER(A101)="DIRSEK",(H101*J101*J101/2)*IFERROR(INDEX(Sabitler!$B$2:$E$11,MATCH(B101,Sabitler!$A$2:$A$11,0),MATCH(C101,Sabitler!$B$1:$E$1,0)),0),0)</f>
        <v/>
      </c>
      <c r="L101">
        <f>IF(UPPER(A101)="KANAL",IF(AND(D101&gt;0,J101&gt;0),(((1000*((0.85*(0.11*(((0.03/D101)+(68/(66.4*D101*J101)))^0.25)))+0.0028))/D101)*(H101*J101*J101/2)*1.15)*1.18,0),0)</f>
        <v/>
      </c>
      <c r="M101">
        <f>IF(UPPER(A101)="JET-CAP",2.0*(1.2*J101*J101/2),0)</f>
        <v/>
      </c>
      <c r="P101">
        <f>IF(UPPER(A101)="DIRSEK",K101*MAX(F101,1),IF(UPPER(A101)="KANAL",L101*MAX(G101,0),IF(UPPER(A101)="JET-CAP",M101,IF(UPPER(A101)="EKIPMAN",O101,0))))</f>
        <v/>
      </c>
    </row>
    <row r="102">
      <c r="H102">
        <f>(101325*EXP(-Ayarlar!$B$3/8434))/((Ayarlar!$B$2+273.15)*287.05)</f>
        <v/>
      </c>
      <c r="I102">
        <f>IF(D102&gt;0,PI()*((D102/1000)^2)/4,0)</f>
        <v/>
      </c>
      <c r="J102">
        <f>IF(AND(I102&gt;0,E102&gt;0),E102/I102/3600,0)</f>
        <v/>
      </c>
      <c r="K102">
        <f>IF(UPPER(A102)="DIRSEK",(H102*J102*J102/2)*IFERROR(INDEX(Sabitler!$B$2:$E$11,MATCH(B102,Sabitler!$A$2:$A$11,0),MATCH(C102,Sabitler!$B$1:$E$1,0)),0),0)</f>
        <v/>
      </c>
      <c r="L102">
        <f>IF(UPPER(A102)="KANAL",IF(AND(D102&gt;0,J102&gt;0),(((1000*((0.85*(0.11*(((0.03/D102)+(68/(66.4*D102*J102)))^0.25)))+0.0028))/D102)*(H102*J102*J102/2)*1.15)*1.18,0),0)</f>
        <v/>
      </c>
      <c r="M102">
        <f>IF(UPPER(A102)="JET-CAP",2.0*(1.2*J102*J102/2),0)</f>
        <v/>
      </c>
      <c r="P102">
        <f>IF(UPPER(A102)="DIRSEK",K102*MAX(F102,1),IF(UPPER(A102)="KANAL",L102*MAX(G102,0),IF(UPPER(A102)="JET-CAP",M102,IF(UPPER(A102)="EKIPMAN",O102,0))))</f>
        <v/>
      </c>
    </row>
    <row r="103">
      <c r="H103">
        <f>(101325*EXP(-Ayarlar!$B$3/8434))/((Ayarlar!$B$2+273.15)*287.05)</f>
        <v/>
      </c>
      <c r="I103">
        <f>IF(D103&gt;0,PI()*((D103/1000)^2)/4,0)</f>
        <v/>
      </c>
      <c r="J103">
        <f>IF(AND(I103&gt;0,E103&gt;0),E103/I103/3600,0)</f>
        <v/>
      </c>
      <c r="K103">
        <f>IF(UPPER(A103)="DIRSEK",(H103*J103*J103/2)*IFERROR(INDEX(Sabitler!$B$2:$E$11,MATCH(B103,Sabitler!$A$2:$A$11,0),MATCH(C103,Sabitler!$B$1:$E$1,0)),0),0)</f>
        <v/>
      </c>
      <c r="L103">
        <f>IF(UPPER(A103)="KANAL",IF(AND(D103&gt;0,J103&gt;0),(((1000*((0.85*(0.11*(((0.03/D103)+(68/(66.4*D103*J103)))^0.25)))+0.0028))/D103)*(H103*J103*J103/2)*1.15)*1.18,0),0)</f>
        <v/>
      </c>
      <c r="M103">
        <f>IF(UPPER(A103)="JET-CAP",2.0*(1.2*J103*J103/2),0)</f>
        <v/>
      </c>
      <c r="P103">
        <f>IF(UPPER(A103)="DIRSEK",K103*MAX(F103,1),IF(UPPER(A103)="KANAL",L103*MAX(G103,0),IF(UPPER(A103)="JET-CAP",M103,IF(UPPER(A103)="EKIPMAN",O103,0))))</f>
        <v/>
      </c>
    </row>
    <row r="104">
      <c r="H104">
        <f>(101325*EXP(-Ayarlar!$B$3/8434))/((Ayarlar!$B$2+273.15)*287.05)</f>
        <v/>
      </c>
      <c r="I104">
        <f>IF(D104&gt;0,PI()*((D104/1000)^2)/4,0)</f>
        <v/>
      </c>
      <c r="J104">
        <f>IF(AND(I104&gt;0,E104&gt;0),E104/I104/3600,0)</f>
        <v/>
      </c>
      <c r="K104">
        <f>IF(UPPER(A104)="DIRSEK",(H104*J104*J104/2)*IFERROR(INDEX(Sabitler!$B$2:$E$11,MATCH(B104,Sabitler!$A$2:$A$11,0),MATCH(C104,Sabitler!$B$1:$E$1,0)),0),0)</f>
        <v/>
      </c>
      <c r="L104">
        <f>IF(UPPER(A104)="KANAL",IF(AND(D104&gt;0,J104&gt;0),(((1000*((0.85*(0.11*(((0.03/D104)+(68/(66.4*D104*J104)))^0.25)))+0.0028))/D104)*(H104*J104*J104/2)*1.15)*1.18,0),0)</f>
        <v/>
      </c>
      <c r="M104">
        <f>IF(UPPER(A104)="JET-CAP",2.0*(1.2*J104*J104/2),0)</f>
        <v/>
      </c>
      <c r="P104">
        <f>IF(UPPER(A104)="DIRSEK",K104*MAX(F104,1),IF(UPPER(A104)="KANAL",L104*MAX(G104,0),IF(UPPER(A104)="JET-CAP",M104,IF(UPPER(A104)="EKIPMAN",O104,0))))</f>
        <v/>
      </c>
    </row>
    <row r="105">
      <c r="H105">
        <f>(101325*EXP(-Ayarlar!$B$3/8434))/((Ayarlar!$B$2+273.15)*287.05)</f>
        <v/>
      </c>
      <c r="I105">
        <f>IF(D105&gt;0,PI()*((D105/1000)^2)/4,0)</f>
        <v/>
      </c>
      <c r="J105">
        <f>IF(AND(I105&gt;0,E105&gt;0),E105/I105/3600,0)</f>
        <v/>
      </c>
      <c r="K105">
        <f>IF(UPPER(A105)="DIRSEK",(H105*J105*J105/2)*IFERROR(INDEX(Sabitler!$B$2:$E$11,MATCH(B105,Sabitler!$A$2:$A$11,0),MATCH(C105,Sabitler!$B$1:$E$1,0)),0),0)</f>
        <v/>
      </c>
      <c r="L105">
        <f>IF(UPPER(A105)="KANAL",IF(AND(D105&gt;0,J105&gt;0),(((1000*((0.85*(0.11*(((0.03/D105)+(68/(66.4*D105*J105)))^0.25)))+0.0028))/D105)*(H105*J105*J105/2)*1.15)*1.18,0),0)</f>
        <v/>
      </c>
      <c r="M105">
        <f>IF(UPPER(A105)="JET-CAP",2.0*(1.2*J105*J105/2),0)</f>
        <v/>
      </c>
      <c r="P105">
        <f>IF(UPPER(A105)="DIRSEK",K105*MAX(F105,1),IF(UPPER(A105)="KANAL",L105*MAX(G105,0),IF(UPPER(A105)="JET-CAP",M105,IF(UPPER(A105)="EKIPMAN",O105,0))))</f>
        <v/>
      </c>
    </row>
    <row r="106">
      <c r="H106">
        <f>(101325*EXP(-Ayarlar!$B$3/8434))/((Ayarlar!$B$2+273.15)*287.05)</f>
        <v/>
      </c>
      <c r="I106">
        <f>IF(D106&gt;0,PI()*((D106/1000)^2)/4,0)</f>
        <v/>
      </c>
      <c r="J106">
        <f>IF(AND(I106&gt;0,E106&gt;0),E106/I106/3600,0)</f>
        <v/>
      </c>
      <c r="K106">
        <f>IF(UPPER(A106)="DIRSEK",(H106*J106*J106/2)*IFERROR(INDEX(Sabitler!$B$2:$E$11,MATCH(B106,Sabitler!$A$2:$A$11,0),MATCH(C106,Sabitler!$B$1:$E$1,0)),0),0)</f>
        <v/>
      </c>
      <c r="L106">
        <f>IF(UPPER(A106)="KANAL",IF(AND(D106&gt;0,J106&gt;0),(((1000*((0.85*(0.11*(((0.03/D106)+(68/(66.4*D106*J106)))^0.25)))+0.0028))/D106)*(H106*J106*J106/2)*1.15)*1.18,0),0)</f>
        <v/>
      </c>
      <c r="M106">
        <f>IF(UPPER(A106)="JET-CAP",2.0*(1.2*J106*J106/2),0)</f>
        <v/>
      </c>
      <c r="P106">
        <f>IF(UPPER(A106)="DIRSEK",K106*MAX(F106,1),IF(UPPER(A106)="KANAL",L106*MAX(G106,0),IF(UPPER(A106)="JET-CAP",M106,IF(UPPER(A106)="EKIPMAN",O106,0))))</f>
        <v/>
      </c>
    </row>
    <row r="107">
      <c r="H107">
        <f>(101325*EXP(-Ayarlar!$B$3/8434))/((Ayarlar!$B$2+273.15)*287.05)</f>
        <v/>
      </c>
      <c r="I107">
        <f>IF(D107&gt;0,PI()*((D107/1000)^2)/4,0)</f>
        <v/>
      </c>
      <c r="J107">
        <f>IF(AND(I107&gt;0,E107&gt;0),E107/I107/3600,0)</f>
        <v/>
      </c>
      <c r="K107">
        <f>IF(UPPER(A107)="DIRSEK",(H107*J107*J107/2)*IFERROR(INDEX(Sabitler!$B$2:$E$11,MATCH(B107,Sabitler!$A$2:$A$11,0),MATCH(C107,Sabitler!$B$1:$E$1,0)),0),0)</f>
        <v/>
      </c>
      <c r="L107">
        <f>IF(UPPER(A107)="KANAL",IF(AND(D107&gt;0,J107&gt;0),(((1000*((0.85*(0.11*(((0.03/D107)+(68/(66.4*D107*J107)))^0.25)))+0.0028))/D107)*(H107*J107*J107/2)*1.15)*1.18,0),0)</f>
        <v/>
      </c>
      <c r="M107">
        <f>IF(UPPER(A107)="JET-CAP",2.0*(1.2*J107*J107/2),0)</f>
        <v/>
      </c>
      <c r="P107">
        <f>IF(UPPER(A107)="DIRSEK",K107*MAX(F107,1),IF(UPPER(A107)="KANAL",L107*MAX(G107,0),IF(UPPER(A107)="JET-CAP",M107,IF(UPPER(A107)="EKIPMAN",O107,0))))</f>
        <v/>
      </c>
    </row>
    <row r="108">
      <c r="H108">
        <f>(101325*EXP(-Ayarlar!$B$3/8434))/((Ayarlar!$B$2+273.15)*287.05)</f>
        <v/>
      </c>
      <c r="I108">
        <f>IF(D108&gt;0,PI()*((D108/1000)^2)/4,0)</f>
        <v/>
      </c>
      <c r="J108">
        <f>IF(AND(I108&gt;0,E108&gt;0),E108/I108/3600,0)</f>
        <v/>
      </c>
      <c r="K108">
        <f>IF(UPPER(A108)="DIRSEK",(H108*J108*J108/2)*IFERROR(INDEX(Sabitler!$B$2:$E$11,MATCH(B108,Sabitler!$A$2:$A$11,0),MATCH(C108,Sabitler!$B$1:$E$1,0)),0),0)</f>
        <v/>
      </c>
      <c r="L108">
        <f>IF(UPPER(A108)="KANAL",IF(AND(D108&gt;0,J108&gt;0),(((1000*((0.85*(0.11*(((0.03/D108)+(68/(66.4*D108*J108)))^0.25)))+0.0028))/D108)*(H108*J108*J108/2)*1.15)*1.18,0),0)</f>
        <v/>
      </c>
      <c r="M108">
        <f>IF(UPPER(A108)="JET-CAP",2.0*(1.2*J108*J108/2),0)</f>
        <v/>
      </c>
      <c r="P108">
        <f>IF(UPPER(A108)="DIRSEK",K108*MAX(F108,1),IF(UPPER(A108)="KANAL",L108*MAX(G108,0),IF(UPPER(A108)="JET-CAP",M108,IF(UPPER(A108)="EKIPMAN",O108,0))))</f>
        <v/>
      </c>
    </row>
    <row r="109">
      <c r="H109">
        <f>(101325*EXP(-Ayarlar!$B$3/8434))/((Ayarlar!$B$2+273.15)*287.05)</f>
        <v/>
      </c>
      <c r="I109">
        <f>IF(D109&gt;0,PI()*((D109/1000)^2)/4,0)</f>
        <v/>
      </c>
      <c r="J109">
        <f>IF(AND(I109&gt;0,E109&gt;0),E109/I109/3600,0)</f>
        <v/>
      </c>
      <c r="K109">
        <f>IF(UPPER(A109)="DIRSEK",(H109*J109*J109/2)*IFERROR(INDEX(Sabitler!$B$2:$E$11,MATCH(B109,Sabitler!$A$2:$A$11,0),MATCH(C109,Sabitler!$B$1:$E$1,0)),0),0)</f>
        <v/>
      </c>
      <c r="L109">
        <f>IF(UPPER(A109)="KANAL",IF(AND(D109&gt;0,J109&gt;0),(((1000*((0.85*(0.11*(((0.03/D109)+(68/(66.4*D109*J109)))^0.25)))+0.0028))/D109)*(H109*J109*J109/2)*1.15)*1.18,0),0)</f>
        <v/>
      </c>
      <c r="M109">
        <f>IF(UPPER(A109)="JET-CAP",2.0*(1.2*J109*J109/2),0)</f>
        <v/>
      </c>
      <c r="P109">
        <f>IF(UPPER(A109)="DIRSEK",K109*MAX(F109,1),IF(UPPER(A109)="KANAL",L109*MAX(G109,0),IF(UPPER(A109)="JET-CAP",M109,IF(UPPER(A109)="EKIPMAN",O109,0))))</f>
        <v/>
      </c>
    </row>
    <row r="110">
      <c r="H110">
        <f>(101325*EXP(-Ayarlar!$B$3/8434))/((Ayarlar!$B$2+273.15)*287.05)</f>
        <v/>
      </c>
      <c r="I110">
        <f>IF(D110&gt;0,PI()*((D110/1000)^2)/4,0)</f>
        <v/>
      </c>
      <c r="J110">
        <f>IF(AND(I110&gt;0,E110&gt;0),E110/I110/3600,0)</f>
        <v/>
      </c>
      <c r="K110">
        <f>IF(UPPER(A110)="DIRSEK",(H110*J110*J110/2)*IFERROR(INDEX(Sabitler!$B$2:$E$11,MATCH(B110,Sabitler!$A$2:$A$11,0),MATCH(C110,Sabitler!$B$1:$E$1,0)),0),0)</f>
        <v/>
      </c>
      <c r="L110">
        <f>IF(UPPER(A110)="KANAL",IF(AND(D110&gt;0,J110&gt;0),(((1000*((0.85*(0.11*(((0.03/D110)+(68/(66.4*D110*J110)))^0.25)))+0.0028))/D110)*(H110*J110*J110/2)*1.15)*1.18,0),0)</f>
        <v/>
      </c>
      <c r="M110">
        <f>IF(UPPER(A110)="JET-CAP",2.0*(1.2*J110*J110/2),0)</f>
        <v/>
      </c>
      <c r="P110">
        <f>IF(UPPER(A110)="DIRSEK",K110*MAX(F110,1),IF(UPPER(A110)="KANAL",L110*MAX(G110,0),IF(UPPER(A110)="JET-CAP",M110,IF(UPPER(A110)="EKIPMAN",O110,0))))</f>
        <v/>
      </c>
    </row>
    <row r="111">
      <c r="H111">
        <f>(101325*EXP(-Ayarlar!$B$3/8434))/((Ayarlar!$B$2+273.15)*287.05)</f>
        <v/>
      </c>
      <c r="I111">
        <f>IF(D111&gt;0,PI()*((D111/1000)^2)/4,0)</f>
        <v/>
      </c>
      <c r="J111">
        <f>IF(AND(I111&gt;0,E111&gt;0),E111/I111/3600,0)</f>
        <v/>
      </c>
      <c r="K111">
        <f>IF(UPPER(A111)="DIRSEK",(H111*J111*J111/2)*IFERROR(INDEX(Sabitler!$B$2:$E$11,MATCH(B111,Sabitler!$A$2:$A$11,0),MATCH(C111,Sabitler!$B$1:$E$1,0)),0),0)</f>
        <v/>
      </c>
      <c r="L111">
        <f>IF(UPPER(A111)="KANAL",IF(AND(D111&gt;0,J111&gt;0),(((1000*((0.85*(0.11*(((0.03/D111)+(68/(66.4*D111*J111)))^0.25)))+0.0028))/D111)*(H111*J111*J111/2)*1.15)*1.18,0),0)</f>
        <v/>
      </c>
      <c r="M111">
        <f>IF(UPPER(A111)="JET-CAP",2.0*(1.2*J111*J111/2),0)</f>
        <v/>
      </c>
      <c r="P111">
        <f>IF(UPPER(A111)="DIRSEK",K111*MAX(F111,1),IF(UPPER(A111)="KANAL",L111*MAX(G111,0),IF(UPPER(A111)="JET-CAP",M111,IF(UPPER(A111)="EKIPMAN",O111,0))))</f>
        <v/>
      </c>
    </row>
    <row r="112">
      <c r="H112">
        <f>(101325*EXP(-Ayarlar!$B$3/8434))/((Ayarlar!$B$2+273.15)*287.05)</f>
        <v/>
      </c>
      <c r="I112">
        <f>IF(D112&gt;0,PI()*((D112/1000)^2)/4,0)</f>
        <v/>
      </c>
      <c r="J112">
        <f>IF(AND(I112&gt;0,E112&gt;0),E112/I112/3600,0)</f>
        <v/>
      </c>
      <c r="K112">
        <f>IF(UPPER(A112)="DIRSEK",(H112*J112*J112/2)*IFERROR(INDEX(Sabitler!$B$2:$E$11,MATCH(B112,Sabitler!$A$2:$A$11,0),MATCH(C112,Sabitler!$B$1:$E$1,0)),0),0)</f>
        <v/>
      </c>
      <c r="L112">
        <f>IF(UPPER(A112)="KANAL",IF(AND(D112&gt;0,J112&gt;0),(((1000*((0.85*(0.11*(((0.03/D112)+(68/(66.4*D112*J112)))^0.25)))+0.0028))/D112)*(H112*J112*J112/2)*1.15)*1.18,0),0)</f>
        <v/>
      </c>
      <c r="M112">
        <f>IF(UPPER(A112)="JET-CAP",2.0*(1.2*J112*J112/2),0)</f>
        <v/>
      </c>
      <c r="P112">
        <f>IF(UPPER(A112)="DIRSEK",K112*MAX(F112,1),IF(UPPER(A112)="KANAL",L112*MAX(G112,0),IF(UPPER(A112)="JET-CAP",M112,IF(UPPER(A112)="EKIPMAN",O112,0))))</f>
        <v/>
      </c>
    </row>
    <row r="113">
      <c r="H113">
        <f>(101325*EXP(-Ayarlar!$B$3/8434))/((Ayarlar!$B$2+273.15)*287.05)</f>
        <v/>
      </c>
      <c r="I113">
        <f>IF(D113&gt;0,PI()*((D113/1000)^2)/4,0)</f>
        <v/>
      </c>
      <c r="J113">
        <f>IF(AND(I113&gt;0,E113&gt;0),E113/I113/3600,0)</f>
        <v/>
      </c>
      <c r="K113">
        <f>IF(UPPER(A113)="DIRSEK",(H113*J113*J113/2)*IFERROR(INDEX(Sabitler!$B$2:$E$11,MATCH(B113,Sabitler!$A$2:$A$11,0),MATCH(C113,Sabitler!$B$1:$E$1,0)),0),0)</f>
        <v/>
      </c>
      <c r="L113">
        <f>IF(UPPER(A113)="KANAL",IF(AND(D113&gt;0,J113&gt;0),(((1000*((0.85*(0.11*(((0.03/D113)+(68/(66.4*D113*J113)))^0.25)))+0.0028))/D113)*(H113*J113*J113/2)*1.15)*1.18,0),0)</f>
        <v/>
      </c>
      <c r="M113">
        <f>IF(UPPER(A113)="JET-CAP",2.0*(1.2*J113*J113/2),0)</f>
        <v/>
      </c>
      <c r="P113">
        <f>IF(UPPER(A113)="DIRSEK",K113*MAX(F113,1),IF(UPPER(A113)="KANAL",L113*MAX(G113,0),IF(UPPER(A113)="JET-CAP",M113,IF(UPPER(A113)="EKIPMAN",O113,0))))</f>
        <v/>
      </c>
    </row>
    <row r="114">
      <c r="H114">
        <f>(101325*EXP(-Ayarlar!$B$3/8434))/((Ayarlar!$B$2+273.15)*287.05)</f>
        <v/>
      </c>
      <c r="I114">
        <f>IF(D114&gt;0,PI()*((D114/1000)^2)/4,0)</f>
        <v/>
      </c>
      <c r="J114">
        <f>IF(AND(I114&gt;0,E114&gt;0),E114/I114/3600,0)</f>
        <v/>
      </c>
      <c r="K114">
        <f>IF(UPPER(A114)="DIRSEK",(H114*J114*J114/2)*IFERROR(INDEX(Sabitler!$B$2:$E$11,MATCH(B114,Sabitler!$A$2:$A$11,0),MATCH(C114,Sabitler!$B$1:$E$1,0)),0),0)</f>
        <v/>
      </c>
      <c r="L114">
        <f>IF(UPPER(A114)="KANAL",IF(AND(D114&gt;0,J114&gt;0),(((1000*((0.85*(0.11*(((0.03/D114)+(68/(66.4*D114*J114)))^0.25)))+0.0028))/D114)*(H114*J114*J114/2)*1.15)*1.18,0),0)</f>
        <v/>
      </c>
      <c r="M114">
        <f>IF(UPPER(A114)="JET-CAP",2.0*(1.2*J114*J114/2),0)</f>
        <v/>
      </c>
      <c r="P114">
        <f>IF(UPPER(A114)="DIRSEK",K114*MAX(F114,1),IF(UPPER(A114)="KANAL",L114*MAX(G114,0),IF(UPPER(A114)="JET-CAP",M114,IF(UPPER(A114)="EKIPMAN",O114,0))))</f>
        <v/>
      </c>
    </row>
    <row r="115">
      <c r="H115">
        <f>(101325*EXP(-Ayarlar!$B$3/8434))/((Ayarlar!$B$2+273.15)*287.05)</f>
        <v/>
      </c>
      <c r="I115">
        <f>IF(D115&gt;0,PI()*((D115/1000)^2)/4,0)</f>
        <v/>
      </c>
      <c r="J115">
        <f>IF(AND(I115&gt;0,E115&gt;0),E115/I115/3600,0)</f>
        <v/>
      </c>
      <c r="K115">
        <f>IF(UPPER(A115)="DIRSEK",(H115*J115*J115/2)*IFERROR(INDEX(Sabitler!$B$2:$E$11,MATCH(B115,Sabitler!$A$2:$A$11,0),MATCH(C115,Sabitler!$B$1:$E$1,0)),0),0)</f>
        <v/>
      </c>
      <c r="L115">
        <f>IF(UPPER(A115)="KANAL",IF(AND(D115&gt;0,J115&gt;0),(((1000*((0.85*(0.11*(((0.03/D115)+(68/(66.4*D115*J115)))^0.25)))+0.0028))/D115)*(H115*J115*J115/2)*1.15)*1.18,0),0)</f>
        <v/>
      </c>
      <c r="M115">
        <f>IF(UPPER(A115)="JET-CAP",2.0*(1.2*J115*J115/2),0)</f>
        <v/>
      </c>
      <c r="P115">
        <f>IF(UPPER(A115)="DIRSEK",K115*MAX(F115,1),IF(UPPER(A115)="KANAL",L115*MAX(G115,0),IF(UPPER(A115)="JET-CAP",M115,IF(UPPER(A115)="EKIPMAN",O115,0))))</f>
        <v/>
      </c>
    </row>
    <row r="116">
      <c r="H116">
        <f>(101325*EXP(-Ayarlar!$B$3/8434))/((Ayarlar!$B$2+273.15)*287.05)</f>
        <v/>
      </c>
      <c r="I116">
        <f>IF(D116&gt;0,PI()*((D116/1000)^2)/4,0)</f>
        <v/>
      </c>
      <c r="J116">
        <f>IF(AND(I116&gt;0,E116&gt;0),E116/I116/3600,0)</f>
        <v/>
      </c>
      <c r="K116">
        <f>IF(UPPER(A116)="DIRSEK",(H116*J116*J116/2)*IFERROR(INDEX(Sabitler!$B$2:$E$11,MATCH(B116,Sabitler!$A$2:$A$11,0),MATCH(C116,Sabitler!$B$1:$E$1,0)),0),0)</f>
        <v/>
      </c>
      <c r="L116">
        <f>IF(UPPER(A116)="KANAL",IF(AND(D116&gt;0,J116&gt;0),(((1000*((0.85*(0.11*(((0.03/D116)+(68/(66.4*D116*J116)))^0.25)))+0.0028))/D116)*(H116*J116*J116/2)*1.15)*1.18,0),0)</f>
        <v/>
      </c>
      <c r="M116">
        <f>IF(UPPER(A116)="JET-CAP",2.0*(1.2*J116*J116/2),0)</f>
        <v/>
      </c>
      <c r="P116">
        <f>IF(UPPER(A116)="DIRSEK",K116*MAX(F116,1),IF(UPPER(A116)="KANAL",L116*MAX(G116,0),IF(UPPER(A116)="JET-CAP",M116,IF(UPPER(A116)="EKIPMAN",O116,0))))</f>
        <v/>
      </c>
    </row>
    <row r="117">
      <c r="H117">
        <f>(101325*EXP(-Ayarlar!$B$3/8434))/((Ayarlar!$B$2+273.15)*287.05)</f>
        <v/>
      </c>
      <c r="I117">
        <f>IF(D117&gt;0,PI()*((D117/1000)^2)/4,0)</f>
        <v/>
      </c>
      <c r="J117">
        <f>IF(AND(I117&gt;0,E117&gt;0),E117/I117/3600,0)</f>
        <v/>
      </c>
      <c r="K117">
        <f>IF(UPPER(A117)="DIRSEK",(H117*J117*J117/2)*IFERROR(INDEX(Sabitler!$B$2:$E$11,MATCH(B117,Sabitler!$A$2:$A$11,0),MATCH(C117,Sabitler!$B$1:$E$1,0)),0),0)</f>
        <v/>
      </c>
      <c r="L117">
        <f>IF(UPPER(A117)="KANAL",IF(AND(D117&gt;0,J117&gt;0),(((1000*((0.85*(0.11*(((0.03/D117)+(68/(66.4*D117*J117)))^0.25)))+0.0028))/D117)*(H117*J117*J117/2)*1.15)*1.18,0),0)</f>
        <v/>
      </c>
      <c r="M117">
        <f>IF(UPPER(A117)="JET-CAP",2.0*(1.2*J117*J117/2),0)</f>
        <v/>
      </c>
      <c r="P117">
        <f>IF(UPPER(A117)="DIRSEK",K117*MAX(F117,1),IF(UPPER(A117)="KANAL",L117*MAX(G117,0),IF(UPPER(A117)="JET-CAP",M117,IF(UPPER(A117)="EKIPMAN",O117,0))))</f>
        <v/>
      </c>
    </row>
    <row r="118">
      <c r="H118">
        <f>(101325*EXP(-Ayarlar!$B$3/8434))/((Ayarlar!$B$2+273.15)*287.05)</f>
        <v/>
      </c>
      <c r="I118">
        <f>IF(D118&gt;0,PI()*((D118/1000)^2)/4,0)</f>
        <v/>
      </c>
      <c r="J118">
        <f>IF(AND(I118&gt;0,E118&gt;0),E118/I118/3600,0)</f>
        <v/>
      </c>
      <c r="K118">
        <f>IF(UPPER(A118)="DIRSEK",(H118*J118*J118/2)*IFERROR(INDEX(Sabitler!$B$2:$E$11,MATCH(B118,Sabitler!$A$2:$A$11,0),MATCH(C118,Sabitler!$B$1:$E$1,0)),0),0)</f>
        <v/>
      </c>
      <c r="L118">
        <f>IF(UPPER(A118)="KANAL",IF(AND(D118&gt;0,J118&gt;0),(((1000*((0.85*(0.11*(((0.03/D118)+(68/(66.4*D118*J118)))^0.25)))+0.0028))/D118)*(H118*J118*J118/2)*1.15)*1.18,0),0)</f>
        <v/>
      </c>
      <c r="M118">
        <f>IF(UPPER(A118)="JET-CAP",2.0*(1.2*J118*J118/2),0)</f>
        <v/>
      </c>
      <c r="P118">
        <f>IF(UPPER(A118)="DIRSEK",K118*MAX(F118,1),IF(UPPER(A118)="KANAL",L118*MAX(G118,0),IF(UPPER(A118)="JET-CAP",M118,IF(UPPER(A118)="EKIPMAN",O118,0))))</f>
        <v/>
      </c>
    </row>
    <row r="119">
      <c r="H119">
        <f>(101325*EXP(-Ayarlar!$B$3/8434))/((Ayarlar!$B$2+273.15)*287.05)</f>
        <v/>
      </c>
      <c r="I119">
        <f>IF(D119&gt;0,PI()*((D119/1000)^2)/4,0)</f>
        <v/>
      </c>
      <c r="J119">
        <f>IF(AND(I119&gt;0,E119&gt;0),E119/I119/3600,0)</f>
        <v/>
      </c>
      <c r="K119">
        <f>IF(UPPER(A119)="DIRSEK",(H119*J119*J119/2)*IFERROR(INDEX(Sabitler!$B$2:$E$11,MATCH(B119,Sabitler!$A$2:$A$11,0),MATCH(C119,Sabitler!$B$1:$E$1,0)),0),0)</f>
        <v/>
      </c>
      <c r="L119">
        <f>IF(UPPER(A119)="KANAL",IF(AND(D119&gt;0,J119&gt;0),(((1000*((0.85*(0.11*(((0.03/D119)+(68/(66.4*D119*J119)))^0.25)))+0.0028))/D119)*(H119*J119*J119/2)*1.15)*1.18,0),0)</f>
        <v/>
      </c>
      <c r="M119">
        <f>IF(UPPER(A119)="JET-CAP",2.0*(1.2*J119*J119/2),0)</f>
        <v/>
      </c>
      <c r="P119">
        <f>IF(UPPER(A119)="DIRSEK",K119*MAX(F119,1),IF(UPPER(A119)="KANAL",L119*MAX(G119,0),IF(UPPER(A119)="JET-CAP",M119,IF(UPPER(A119)="EKIPMAN",O119,0))))</f>
        <v/>
      </c>
    </row>
    <row r="120">
      <c r="H120">
        <f>(101325*EXP(-Ayarlar!$B$3/8434))/((Ayarlar!$B$2+273.15)*287.05)</f>
        <v/>
      </c>
      <c r="I120">
        <f>IF(D120&gt;0,PI()*((D120/1000)^2)/4,0)</f>
        <v/>
      </c>
      <c r="J120">
        <f>IF(AND(I120&gt;0,E120&gt;0),E120/I120/3600,0)</f>
        <v/>
      </c>
      <c r="K120">
        <f>IF(UPPER(A120)="DIRSEK",(H120*J120*J120/2)*IFERROR(INDEX(Sabitler!$B$2:$E$11,MATCH(B120,Sabitler!$A$2:$A$11,0),MATCH(C120,Sabitler!$B$1:$E$1,0)),0),0)</f>
        <v/>
      </c>
      <c r="L120">
        <f>IF(UPPER(A120)="KANAL",IF(AND(D120&gt;0,J120&gt;0),(((1000*((0.85*(0.11*(((0.03/D120)+(68/(66.4*D120*J120)))^0.25)))+0.0028))/D120)*(H120*J120*J120/2)*1.15)*1.18,0),0)</f>
        <v/>
      </c>
      <c r="M120">
        <f>IF(UPPER(A120)="JET-CAP",2.0*(1.2*J120*J120/2),0)</f>
        <v/>
      </c>
      <c r="P120">
        <f>IF(UPPER(A120)="DIRSEK",K120*MAX(F120,1),IF(UPPER(A120)="KANAL",L120*MAX(G120,0),IF(UPPER(A120)="JET-CAP",M120,IF(UPPER(A120)="EKIPMAN",O120,0))))</f>
        <v/>
      </c>
    </row>
    <row r="121">
      <c r="H121">
        <f>(101325*EXP(-Ayarlar!$B$3/8434))/((Ayarlar!$B$2+273.15)*287.05)</f>
        <v/>
      </c>
      <c r="I121">
        <f>IF(D121&gt;0,PI()*((D121/1000)^2)/4,0)</f>
        <v/>
      </c>
      <c r="J121">
        <f>IF(AND(I121&gt;0,E121&gt;0),E121/I121/3600,0)</f>
        <v/>
      </c>
      <c r="K121">
        <f>IF(UPPER(A121)="DIRSEK",(H121*J121*J121/2)*IFERROR(INDEX(Sabitler!$B$2:$E$11,MATCH(B121,Sabitler!$A$2:$A$11,0),MATCH(C121,Sabitler!$B$1:$E$1,0)),0),0)</f>
        <v/>
      </c>
      <c r="L121">
        <f>IF(UPPER(A121)="KANAL",IF(AND(D121&gt;0,J121&gt;0),(((1000*((0.85*(0.11*(((0.03/D121)+(68/(66.4*D121*J121)))^0.25)))+0.0028))/D121)*(H121*J121*J121/2)*1.15)*1.18,0),0)</f>
        <v/>
      </c>
      <c r="M121">
        <f>IF(UPPER(A121)="JET-CAP",2.0*(1.2*J121*J121/2),0)</f>
        <v/>
      </c>
      <c r="P121">
        <f>IF(UPPER(A121)="DIRSEK",K121*MAX(F121,1),IF(UPPER(A121)="KANAL",L121*MAX(G121,0),IF(UPPER(A121)="JET-CAP",M121,IF(UPPER(A121)="EKIPMAN",O121,0))))</f>
        <v/>
      </c>
    </row>
    <row r="122">
      <c r="H122">
        <f>(101325*EXP(-Ayarlar!$B$3/8434))/((Ayarlar!$B$2+273.15)*287.05)</f>
        <v/>
      </c>
      <c r="I122">
        <f>IF(D122&gt;0,PI()*((D122/1000)^2)/4,0)</f>
        <v/>
      </c>
      <c r="J122">
        <f>IF(AND(I122&gt;0,E122&gt;0),E122/I122/3600,0)</f>
        <v/>
      </c>
      <c r="K122">
        <f>IF(UPPER(A122)="DIRSEK",(H122*J122*J122/2)*IFERROR(INDEX(Sabitler!$B$2:$E$11,MATCH(B122,Sabitler!$A$2:$A$11,0),MATCH(C122,Sabitler!$B$1:$E$1,0)),0),0)</f>
        <v/>
      </c>
      <c r="L122">
        <f>IF(UPPER(A122)="KANAL",IF(AND(D122&gt;0,J122&gt;0),(((1000*((0.85*(0.11*(((0.03/D122)+(68/(66.4*D122*J122)))^0.25)))+0.0028))/D122)*(H122*J122*J122/2)*1.15)*1.18,0),0)</f>
        <v/>
      </c>
      <c r="M122">
        <f>IF(UPPER(A122)="JET-CAP",2.0*(1.2*J122*J122/2),0)</f>
        <v/>
      </c>
      <c r="P122">
        <f>IF(UPPER(A122)="DIRSEK",K122*MAX(F122,1),IF(UPPER(A122)="KANAL",L122*MAX(G122,0),IF(UPPER(A122)="JET-CAP",M122,IF(UPPER(A122)="EKIPMAN",O122,0))))</f>
        <v/>
      </c>
    </row>
    <row r="123">
      <c r="H123">
        <f>(101325*EXP(-Ayarlar!$B$3/8434))/((Ayarlar!$B$2+273.15)*287.05)</f>
        <v/>
      </c>
      <c r="I123">
        <f>IF(D123&gt;0,PI()*((D123/1000)^2)/4,0)</f>
        <v/>
      </c>
      <c r="J123">
        <f>IF(AND(I123&gt;0,E123&gt;0),E123/I123/3600,0)</f>
        <v/>
      </c>
      <c r="K123">
        <f>IF(UPPER(A123)="DIRSEK",(H123*J123*J123/2)*IFERROR(INDEX(Sabitler!$B$2:$E$11,MATCH(B123,Sabitler!$A$2:$A$11,0),MATCH(C123,Sabitler!$B$1:$E$1,0)),0),0)</f>
        <v/>
      </c>
      <c r="L123">
        <f>IF(UPPER(A123)="KANAL",IF(AND(D123&gt;0,J123&gt;0),(((1000*((0.85*(0.11*(((0.03/D123)+(68/(66.4*D123*J123)))^0.25)))+0.0028))/D123)*(H123*J123*J123/2)*1.15)*1.18,0),0)</f>
        <v/>
      </c>
      <c r="M123">
        <f>IF(UPPER(A123)="JET-CAP",2.0*(1.2*J123*J123/2),0)</f>
        <v/>
      </c>
      <c r="P123">
        <f>IF(UPPER(A123)="DIRSEK",K123*MAX(F123,1),IF(UPPER(A123)="KANAL",L123*MAX(G123,0),IF(UPPER(A123)="JET-CAP",M123,IF(UPPER(A123)="EKIPMAN",O123,0))))</f>
        <v/>
      </c>
    </row>
    <row r="124">
      <c r="H124">
        <f>(101325*EXP(-Ayarlar!$B$3/8434))/((Ayarlar!$B$2+273.15)*287.05)</f>
        <v/>
      </c>
      <c r="I124">
        <f>IF(D124&gt;0,PI()*((D124/1000)^2)/4,0)</f>
        <v/>
      </c>
      <c r="J124">
        <f>IF(AND(I124&gt;0,E124&gt;0),E124/I124/3600,0)</f>
        <v/>
      </c>
      <c r="K124">
        <f>IF(UPPER(A124)="DIRSEK",(H124*J124*J124/2)*IFERROR(INDEX(Sabitler!$B$2:$E$11,MATCH(B124,Sabitler!$A$2:$A$11,0),MATCH(C124,Sabitler!$B$1:$E$1,0)),0),0)</f>
        <v/>
      </c>
      <c r="L124">
        <f>IF(UPPER(A124)="KANAL",IF(AND(D124&gt;0,J124&gt;0),(((1000*((0.85*(0.11*(((0.03/D124)+(68/(66.4*D124*J124)))^0.25)))+0.0028))/D124)*(H124*J124*J124/2)*1.15)*1.18,0),0)</f>
        <v/>
      </c>
      <c r="M124">
        <f>IF(UPPER(A124)="JET-CAP",2.0*(1.2*J124*J124/2),0)</f>
        <v/>
      </c>
      <c r="P124">
        <f>IF(UPPER(A124)="DIRSEK",K124*MAX(F124,1),IF(UPPER(A124)="KANAL",L124*MAX(G124,0),IF(UPPER(A124)="JET-CAP",M124,IF(UPPER(A124)="EKIPMAN",O124,0))))</f>
        <v/>
      </c>
    </row>
    <row r="125">
      <c r="H125">
        <f>(101325*EXP(-Ayarlar!$B$3/8434))/((Ayarlar!$B$2+273.15)*287.05)</f>
        <v/>
      </c>
      <c r="I125">
        <f>IF(D125&gt;0,PI()*((D125/1000)^2)/4,0)</f>
        <v/>
      </c>
      <c r="J125">
        <f>IF(AND(I125&gt;0,E125&gt;0),E125/I125/3600,0)</f>
        <v/>
      </c>
      <c r="K125">
        <f>IF(UPPER(A125)="DIRSEK",(H125*J125*J125/2)*IFERROR(INDEX(Sabitler!$B$2:$E$11,MATCH(B125,Sabitler!$A$2:$A$11,0),MATCH(C125,Sabitler!$B$1:$E$1,0)),0),0)</f>
        <v/>
      </c>
      <c r="L125">
        <f>IF(UPPER(A125)="KANAL",IF(AND(D125&gt;0,J125&gt;0),(((1000*((0.85*(0.11*(((0.03/D125)+(68/(66.4*D125*J125)))^0.25)))+0.0028))/D125)*(H125*J125*J125/2)*1.15)*1.18,0),0)</f>
        <v/>
      </c>
      <c r="M125">
        <f>IF(UPPER(A125)="JET-CAP",2.0*(1.2*J125*J125/2),0)</f>
        <v/>
      </c>
      <c r="P125">
        <f>IF(UPPER(A125)="DIRSEK",K125*MAX(F125,1),IF(UPPER(A125)="KANAL",L125*MAX(G125,0),IF(UPPER(A125)="JET-CAP",M125,IF(UPPER(A125)="EKIPMAN",O125,0))))</f>
        <v/>
      </c>
    </row>
    <row r="126">
      <c r="H126">
        <f>(101325*EXP(-Ayarlar!$B$3/8434))/((Ayarlar!$B$2+273.15)*287.05)</f>
        <v/>
      </c>
      <c r="I126">
        <f>IF(D126&gt;0,PI()*((D126/1000)^2)/4,0)</f>
        <v/>
      </c>
      <c r="J126">
        <f>IF(AND(I126&gt;0,E126&gt;0),E126/I126/3600,0)</f>
        <v/>
      </c>
      <c r="K126">
        <f>IF(UPPER(A126)="DIRSEK",(H126*J126*J126/2)*IFERROR(INDEX(Sabitler!$B$2:$E$11,MATCH(B126,Sabitler!$A$2:$A$11,0),MATCH(C126,Sabitler!$B$1:$E$1,0)),0),0)</f>
        <v/>
      </c>
      <c r="L126">
        <f>IF(UPPER(A126)="KANAL",IF(AND(D126&gt;0,J126&gt;0),(((1000*((0.85*(0.11*(((0.03/D126)+(68/(66.4*D126*J126)))^0.25)))+0.0028))/D126)*(H126*J126*J126/2)*1.15)*1.18,0),0)</f>
        <v/>
      </c>
      <c r="M126">
        <f>IF(UPPER(A126)="JET-CAP",2.0*(1.2*J126*J126/2),0)</f>
        <v/>
      </c>
      <c r="P126">
        <f>IF(UPPER(A126)="DIRSEK",K126*MAX(F126,1),IF(UPPER(A126)="KANAL",L126*MAX(G126,0),IF(UPPER(A126)="JET-CAP",M126,IF(UPPER(A126)="EKIPMAN",O126,0))))</f>
        <v/>
      </c>
    </row>
    <row r="127">
      <c r="H127">
        <f>(101325*EXP(-Ayarlar!$B$3/8434))/((Ayarlar!$B$2+273.15)*287.05)</f>
        <v/>
      </c>
      <c r="I127">
        <f>IF(D127&gt;0,PI()*((D127/1000)^2)/4,0)</f>
        <v/>
      </c>
      <c r="J127">
        <f>IF(AND(I127&gt;0,E127&gt;0),E127/I127/3600,0)</f>
        <v/>
      </c>
      <c r="K127">
        <f>IF(UPPER(A127)="DIRSEK",(H127*J127*J127/2)*IFERROR(INDEX(Sabitler!$B$2:$E$11,MATCH(B127,Sabitler!$A$2:$A$11,0),MATCH(C127,Sabitler!$B$1:$E$1,0)),0),0)</f>
        <v/>
      </c>
      <c r="L127">
        <f>IF(UPPER(A127)="KANAL",IF(AND(D127&gt;0,J127&gt;0),(((1000*((0.85*(0.11*(((0.03/D127)+(68/(66.4*D127*J127)))^0.25)))+0.0028))/D127)*(H127*J127*J127/2)*1.15)*1.18,0),0)</f>
        <v/>
      </c>
      <c r="M127">
        <f>IF(UPPER(A127)="JET-CAP",2.0*(1.2*J127*J127/2),0)</f>
        <v/>
      </c>
      <c r="P127">
        <f>IF(UPPER(A127)="DIRSEK",K127*MAX(F127,1),IF(UPPER(A127)="KANAL",L127*MAX(G127,0),IF(UPPER(A127)="JET-CAP",M127,IF(UPPER(A127)="EKIPMAN",O127,0))))</f>
        <v/>
      </c>
    </row>
    <row r="128">
      <c r="H128">
        <f>(101325*EXP(-Ayarlar!$B$3/8434))/((Ayarlar!$B$2+273.15)*287.05)</f>
        <v/>
      </c>
      <c r="I128">
        <f>IF(D128&gt;0,PI()*((D128/1000)^2)/4,0)</f>
        <v/>
      </c>
      <c r="J128">
        <f>IF(AND(I128&gt;0,E128&gt;0),E128/I128/3600,0)</f>
        <v/>
      </c>
      <c r="K128">
        <f>IF(UPPER(A128)="DIRSEK",(H128*J128*J128/2)*IFERROR(INDEX(Sabitler!$B$2:$E$11,MATCH(B128,Sabitler!$A$2:$A$11,0),MATCH(C128,Sabitler!$B$1:$E$1,0)),0),0)</f>
        <v/>
      </c>
      <c r="L128">
        <f>IF(UPPER(A128)="KANAL",IF(AND(D128&gt;0,J128&gt;0),(((1000*((0.85*(0.11*(((0.03/D128)+(68/(66.4*D128*J128)))^0.25)))+0.0028))/D128)*(H128*J128*J128/2)*1.15)*1.18,0),0)</f>
        <v/>
      </c>
      <c r="M128">
        <f>IF(UPPER(A128)="JET-CAP",2.0*(1.2*J128*J128/2),0)</f>
        <v/>
      </c>
      <c r="P128">
        <f>IF(UPPER(A128)="DIRSEK",K128*MAX(F128,1),IF(UPPER(A128)="KANAL",L128*MAX(G128,0),IF(UPPER(A128)="JET-CAP",M128,IF(UPPER(A128)="EKIPMAN",O128,0))))</f>
        <v/>
      </c>
    </row>
    <row r="129">
      <c r="H129">
        <f>(101325*EXP(-Ayarlar!$B$3/8434))/((Ayarlar!$B$2+273.15)*287.05)</f>
        <v/>
      </c>
      <c r="I129">
        <f>IF(D129&gt;0,PI()*((D129/1000)^2)/4,0)</f>
        <v/>
      </c>
      <c r="J129">
        <f>IF(AND(I129&gt;0,E129&gt;0),E129/I129/3600,0)</f>
        <v/>
      </c>
      <c r="K129">
        <f>IF(UPPER(A129)="DIRSEK",(H129*J129*J129/2)*IFERROR(INDEX(Sabitler!$B$2:$E$11,MATCH(B129,Sabitler!$A$2:$A$11,0),MATCH(C129,Sabitler!$B$1:$E$1,0)),0),0)</f>
        <v/>
      </c>
      <c r="L129">
        <f>IF(UPPER(A129)="KANAL",IF(AND(D129&gt;0,J129&gt;0),(((1000*((0.85*(0.11*(((0.03/D129)+(68/(66.4*D129*J129)))^0.25)))+0.0028))/D129)*(H129*J129*J129/2)*1.15)*1.18,0),0)</f>
        <v/>
      </c>
      <c r="M129">
        <f>IF(UPPER(A129)="JET-CAP",2.0*(1.2*J129*J129/2),0)</f>
        <v/>
      </c>
      <c r="P129">
        <f>IF(UPPER(A129)="DIRSEK",K129*MAX(F129,1),IF(UPPER(A129)="KANAL",L129*MAX(G129,0),IF(UPPER(A129)="JET-CAP",M129,IF(UPPER(A129)="EKIPMAN",O129,0))))</f>
        <v/>
      </c>
    </row>
    <row r="130">
      <c r="H130">
        <f>(101325*EXP(-Ayarlar!$B$3/8434))/((Ayarlar!$B$2+273.15)*287.05)</f>
        <v/>
      </c>
      <c r="I130">
        <f>IF(D130&gt;0,PI()*((D130/1000)^2)/4,0)</f>
        <v/>
      </c>
      <c r="J130">
        <f>IF(AND(I130&gt;0,E130&gt;0),E130/I130/3600,0)</f>
        <v/>
      </c>
      <c r="K130">
        <f>IF(UPPER(A130)="DIRSEK",(H130*J130*J130/2)*IFERROR(INDEX(Sabitler!$B$2:$E$11,MATCH(B130,Sabitler!$A$2:$A$11,0),MATCH(C130,Sabitler!$B$1:$E$1,0)),0),0)</f>
        <v/>
      </c>
      <c r="L130">
        <f>IF(UPPER(A130)="KANAL",IF(AND(D130&gt;0,J130&gt;0),(((1000*((0.85*(0.11*(((0.03/D130)+(68/(66.4*D130*J130)))^0.25)))+0.0028))/D130)*(H130*J130*J130/2)*1.15)*1.18,0),0)</f>
        <v/>
      </c>
      <c r="M130">
        <f>IF(UPPER(A130)="JET-CAP",2.0*(1.2*J130*J130/2),0)</f>
        <v/>
      </c>
      <c r="P130">
        <f>IF(UPPER(A130)="DIRSEK",K130*MAX(F130,1),IF(UPPER(A130)="KANAL",L130*MAX(G130,0),IF(UPPER(A130)="JET-CAP",M130,IF(UPPER(A130)="EKIPMAN",O130,0))))</f>
        <v/>
      </c>
    </row>
    <row r="131">
      <c r="H131">
        <f>(101325*EXP(-Ayarlar!$B$3/8434))/((Ayarlar!$B$2+273.15)*287.05)</f>
        <v/>
      </c>
      <c r="I131">
        <f>IF(D131&gt;0,PI()*((D131/1000)^2)/4,0)</f>
        <v/>
      </c>
      <c r="J131">
        <f>IF(AND(I131&gt;0,E131&gt;0),E131/I131/3600,0)</f>
        <v/>
      </c>
      <c r="K131">
        <f>IF(UPPER(A131)="DIRSEK",(H131*J131*J131/2)*IFERROR(INDEX(Sabitler!$B$2:$E$11,MATCH(B131,Sabitler!$A$2:$A$11,0),MATCH(C131,Sabitler!$B$1:$E$1,0)),0),0)</f>
        <v/>
      </c>
      <c r="L131">
        <f>IF(UPPER(A131)="KANAL",IF(AND(D131&gt;0,J131&gt;0),(((1000*((0.85*(0.11*(((0.03/D131)+(68/(66.4*D131*J131)))^0.25)))+0.0028))/D131)*(H131*J131*J131/2)*1.15)*1.18,0),0)</f>
        <v/>
      </c>
      <c r="M131">
        <f>IF(UPPER(A131)="JET-CAP",2.0*(1.2*J131*J131/2),0)</f>
        <v/>
      </c>
      <c r="P131">
        <f>IF(UPPER(A131)="DIRSEK",K131*MAX(F131,1),IF(UPPER(A131)="KANAL",L131*MAX(G131,0),IF(UPPER(A131)="JET-CAP",M131,IF(UPPER(A131)="EKIPMAN",O131,0))))</f>
        <v/>
      </c>
    </row>
    <row r="132">
      <c r="H132">
        <f>(101325*EXP(-Ayarlar!$B$3/8434))/((Ayarlar!$B$2+273.15)*287.05)</f>
        <v/>
      </c>
      <c r="I132">
        <f>IF(D132&gt;0,PI()*((D132/1000)^2)/4,0)</f>
        <v/>
      </c>
      <c r="J132">
        <f>IF(AND(I132&gt;0,E132&gt;0),E132/I132/3600,0)</f>
        <v/>
      </c>
      <c r="K132">
        <f>IF(UPPER(A132)="DIRSEK",(H132*J132*J132/2)*IFERROR(INDEX(Sabitler!$B$2:$E$11,MATCH(B132,Sabitler!$A$2:$A$11,0),MATCH(C132,Sabitler!$B$1:$E$1,0)),0),0)</f>
        <v/>
      </c>
      <c r="L132">
        <f>IF(UPPER(A132)="KANAL",IF(AND(D132&gt;0,J132&gt;0),(((1000*((0.85*(0.11*(((0.03/D132)+(68/(66.4*D132*J132)))^0.25)))+0.0028))/D132)*(H132*J132*J132/2)*1.15)*1.18,0),0)</f>
        <v/>
      </c>
      <c r="M132">
        <f>IF(UPPER(A132)="JET-CAP",2.0*(1.2*J132*J132/2),0)</f>
        <v/>
      </c>
      <c r="P132">
        <f>IF(UPPER(A132)="DIRSEK",K132*MAX(F132,1),IF(UPPER(A132)="KANAL",L132*MAX(G132,0),IF(UPPER(A132)="JET-CAP",M132,IF(UPPER(A132)="EKIPMAN",O132,0))))</f>
        <v/>
      </c>
    </row>
    <row r="133">
      <c r="H133">
        <f>(101325*EXP(-Ayarlar!$B$3/8434))/((Ayarlar!$B$2+273.15)*287.05)</f>
        <v/>
      </c>
      <c r="I133">
        <f>IF(D133&gt;0,PI()*((D133/1000)^2)/4,0)</f>
        <v/>
      </c>
      <c r="J133">
        <f>IF(AND(I133&gt;0,E133&gt;0),E133/I133/3600,0)</f>
        <v/>
      </c>
      <c r="K133">
        <f>IF(UPPER(A133)="DIRSEK",(H133*J133*J133/2)*IFERROR(INDEX(Sabitler!$B$2:$E$11,MATCH(B133,Sabitler!$A$2:$A$11,0),MATCH(C133,Sabitler!$B$1:$E$1,0)),0),0)</f>
        <v/>
      </c>
      <c r="L133">
        <f>IF(UPPER(A133)="KANAL",IF(AND(D133&gt;0,J133&gt;0),(((1000*((0.85*(0.11*(((0.03/D133)+(68/(66.4*D133*J133)))^0.25)))+0.0028))/D133)*(H133*J133*J133/2)*1.15)*1.18,0),0)</f>
        <v/>
      </c>
      <c r="M133">
        <f>IF(UPPER(A133)="JET-CAP",2.0*(1.2*J133*J133/2),0)</f>
        <v/>
      </c>
      <c r="P133">
        <f>IF(UPPER(A133)="DIRSEK",K133*MAX(F133,1),IF(UPPER(A133)="KANAL",L133*MAX(G133,0),IF(UPPER(A133)="JET-CAP",M133,IF(UPPER(A133)="EKIPMAN",O133,0))))</f>
        <v/>
      </c>
    </row>
    <row r="134">
      <c r="H134">
        <f>(101325*EXP(-Ayarlar!$B$3/8434))/((Ayarlar!$B$2+273.15)*287.05)</f>
        <v/>
      </c>
      <c r="I134">
        <f>IF(D134&gt;0,PI()*((D134/1000)^2)/4,0)</f>
        <v/>
      </c>
      <c r="J134">
        <f>IF(AND(I134&gt;0,E134&gt;0),E134/I134/3600,0)</f>
        <v/>
      </c>
      <c r="K134">
        <f>IF(UPPER(A134)="DIRSEK",(H134*J134*J134/2)*IFERROR(INDEX(Sabitler!$B$2:$E$11,MATCH(B134,Sabitler!$A$2:$A$11,0),MATCH(C134,Sabitler!$B$1:$E$1,0)),0),0)</f>
        <v/>
      </c>
      <c r="L134">
        <f>IF(UPPER(A134)="KANAL",IF(AND(D134&gt;0,J134&gt;0),(((1000*((0.85*(0.11*(((0.03/D134)+(68/(66.4*D134*J134)))^0.25)))+0.0028))/D134)*(H134*J134*J134/2)*1.15)*1.18,0),0)</f>
        <v/>
      </c>
      <c r="M134">
        <f>IF(UPPER(A134)="JET-CAP",2.0*(1.2*J134*J134/2),0)</f>
        <v/>
      </c>
      <c r="P134">
        <f>IF(UPPER(A134)="DIRSEK",K134*MAX(F134,1),IF(UPPER(A134)="KANAL",L134*MAX(G134,0),IF(UPPER(A134)="JET-CAP",M134,IF(UPPER(A134)="EKIPMAN",O134,0))))</f>
        <v/>
      </c>
    </row>
    <row r="135">
      <c r="H135">
        <f>(101325*EXP(-Ayarlar!$B$3/8434))/((Ayarlar!$B$2+273.15)*287.05)</f>
        <v/>
      </c>
      <c r="I135">
        <f>IF(D135&gt;0,PI()*((D135/1000)^2)/4,0)</f>
        <v/>
      </c>
      <c r="J135">
        <f>IF(AND(I135&gt;0,E135&gt;0),E135/I135/3600,0)</f>
        <v/>
      </c>
      <c r="K135">
        <f>IF(UPPER(A135)="DIRSEK",(H135*J135*J135/2)*IFERROR(INDEX(Sabitler!$B$2:$E$11,MATCH(B135,Sabitler!$A$2:$A$11,0),MATCH(C135,Sabitler!$B$1:$E$1,0)),0),0)</f>
        <v/>
      </c>
      <c r="L135">
        <f>IF(UPPER(A135)="KANAL",IF(AND(D135&gt;0,J135&gt;0),(((1000*((0.85*(0.11*(((0.03/D135)+(68/(66.4*D135*J135)))^0.25)))+0.0028))/D135)*(H135*J135*J135/2)*1.15)*1.18,0),0)</f>
        <v/>
      </c>
      <c r="M135">
        <f>IF(UPPER(A135)="JET-CAP",2.0*(1.2*J135*J135/2),0)</f>
        <v/>
      </c>
      <c r="P135">
        <f>IF(UPPER(A135)="DIRSEK",K135*MAX(F135,1),IF(UPPER(A135)="KANAL",L135*MAX(G135,0),IF(UPPER(A135)="JET-CAP",M135,IF(UPPER(A135)="EKIPMAN",O135,0))))</f>
        <v/>
      </c>
    </row>
    <row r="136">
      <c r="H136">
        <f>(101325*EXP(-Ayarlar!$B$3/8434))/((Ayarlar!$B$2+273.15)*287.05)</f>
        <v/>
      </c>
      <c r="I136">
        <f>IF(D136&gt;0,PI()*((D136/1000)^2)/4,0)</f>
        <v/>
      </c>
      <c r="J136">
        <f>IF(AND(I136&gt;0,E136&gt;0),E136/I136/3600,0)</f>
        <v/>
      </c>
      <c r="K136">
        <f>IF(UPPER(A136)="DIRSEK",(H136*J136*J136/2)*IFERROR(INDEX(Sabitler!$B$2:$E$11,MATCH(B136,Sabitler!$A$2:$A$11,0),MATCH(C136,Sabitler!$B$1:$E$1,0)),0),0)</f>
        <v/>
      </c>
      <c r="L136">
        <f>IF(UPPER(A136)="KANAL",IF(AND(D136&gt;0,J136&gt;0),(((1000*((0.85*(0.11*(((0.03/D136)+(68/(66.4*D136*J136)))^0.25)))+0.0028))/D136)*(H136*J136*J136/2)*1.15)*1.18,0),0)</f>
        <v/>
      </c>
      <c r="M136">
        <f>IF(UPPER(A136)="JET-CAP",2.0*(1.2*J136*J136/2),0)</f>
        <v/>
      </c>
      <c r="P136">
        <f>IF(UPPER(A136)="DIRSEK",K136*MAX(F136,1),IF(UPPER(A136)="KANAL",L136*MAX(G136,0),IF(UPPER(A136)="JET-CAP",M136,IF(UPPER(A136)="EKIPMAN",O136,0))))</f>
        <v/>
      </c>
    </row>
    <row r="137">
      <c r="H137">
        <f>(101325*EXP(-Ayarlar!$B$3/8434))/((Ayarlar!$B$2+273.15)*287.05)</f>
        <v/>
      </c>
      <c r="I137">
        <f>IF(D137&gt;0,PI()*((D137/1000)^2)/4,0)</f>
        <v/>
      </c>
      <c r="J137">
        <f>IF(AND(I137&gt;0,E137&gt;0),E137/I137/3600,0)</f>
        <v/>
      </c>
      <c r="K137">
        <f>IF(UPPER(A137)="DIRSEK",(H137*J137*J137/2)*IFERROR(INDEX(Sabitler!$B$2:$E$11,MATCH(B137,Sabitler!$A$2:$A$11,0),MATCH(C137,Sabitler!$B$1:$E$1,0)),0),0)</f>
        <v/>
      </c>
      <c r="L137">
        <f>IF(UPPER(A137)="KANAL",IF(AND(D137&gt;0,J137&gt;0),(((1000*((0.85*(0.11*(((0.03/D137)+(68/(66.4*D137*J137)))^0.25)))+0.0028))/D137)*(H137*J137*J137/2)*1.15)*1.18,0),0)</f>
        <v/>
      </c>
      <c r="M137">
        <f>IF(UPPER(A137)="JET-CAP",2.0*(1.2*J137*J137/2),0)</f>
        <v/>
      </c>
      <c r="P137">
        <f>IF(UPPER(A137)="DIRSEK",K137*MAX(F137,1),IF(UPPER(A137)="KANAL",L137*MAX(G137,0),IF(UPPER(A137)="JET-CAP",M137,IF(UPPER(A137)="EKIPMAN",O137,0))))</f>
        <v/>
      </c>
    </row>
    <row r="138">
      <c r="H138">
        <f>(101325*EXP(-Ayarlar!$B$3/8434))/((Ayarlar!$B$2+273.15)*287.05)</f>
        <v/>
      </c>
      <c r="I138">
        <f>IF(D138&gt;0,PI()*((D138/1000)^2)/4,0)</f>
        <v/>
      </c>
      <c r="J138">
        <f>IF(AND(I138&gt;0,E138&gt;0),E138/I138/3600,0)</f>
        <v/>
      </c>
      <c r="K138">
        <f>IF(UPPER(A138)="DIRSEK",(H138*J138*J138/2)*IFERROR(INDEX(Sabitler!$B$2:$E$11,MATCH(B138,Sabitler!$A$2:$A$11,0),MATCH(C138,Sabitler!$B$1:$E$1,0)),0),0)</f>
        <v/>
      </c>
      <c r="L138">
        <f>IF(UPPER(A138)="KANAL",IF(AND(D138&gt;0,J138&gt;0),(((1000*((0.85*(0.11*(((0.03/D138)+(68/(66.4*D138*J138)))^0.25)))+0.0028))/D138)*(H138*J138*J138/2)*1.15)*1.18,0),0)</f>
        <v/>
      </c>
      <c r="M138">
        <f>IF(UPPER(A138)="JET-CAP",2.0*(1.2*J138*J138/2),0)</f>
        <v/>
      </c>
      <c r="P138">
        <f>IF(UPPER(A138)="DIRSEK",K138*MAX(F138,1),IF(UPPER(A138)="KANAL",L138*MAX(G138,0),IF(UPPER(A138)="JET-CAP",M138,IF(UPPER(A138)="EKIPMAN",O138,0))))</f>
        <v/>
      </c>
    </row>
    <row r="139">
      <c r="H139">
        <f>(101325*EXP(-Ayarlar!$B$3/8434))/((Ayarlar!$B$2+273.15)*287.05)</f>
        <v/>
      </c>
      <c r="I139">
        <f>IF(D139&gt;0,PI()*((D139/1000)^2)/4,0)</f>
        <v/>
      </c>
      <c r="J139">
        <f>IF(AND(I139&gt;0,E139&gt;0),E139/I139/3600,0)</f>
        <v/>
      </c>
      <c r="K139">
        <f>IF(UPPER(A139)="DIRSEK",(H139*J139*J139/2)*IFERROR(INDEX(Sabitler!$B$2:$E$11,MATCH(B139,Sabitler!$A$2:$A$11,0),MATCH(C139,Sabitler!$B$1:$E$1,0)),0),0)</f>
        <v/>
      </c>
      <c r="L139">
        <f>IF(UPPER(A139)="KANAL",IF(AND(D139&gt;0,J139&gt;0),(((1000*((0.85*(0.11*(((0.03/D139)+(68/(66.4*D139*J139)))^0.25)))+0.0028))/D139)*(H139*J139*J139/2)*1.15)*1.18,0),0)</f>
        <v/>
      </c>
      <c r="M139">
        <f>IF(UPPER(A139)="JET-CAP",2.0*(1.2*J139*J139/2),0)</f>
        <v/>
      </c>
      <c r="P139">
        <f>IF(UPPER(A139)="DIRSEK",K139*MAX(F139,1),IF(UPPER(A139)="KANAL",L139*MAX(G139,0),IF(UPPER(A139)="JET-CAP",M139,IF(UPPER(A139)="EKIPMAN",O139,0))))</f>
        <v/>
      </c>
    </row>
    <row r="140">
      <c r="H140">
        <f>(101325*EXP(-Ayarlar!$B$3/8434))/((Ayarlar!$B$2+273.15)*287.05)</f>
        <v/>
      </c>
      <c r="I140">
        <f>IF(D140&gt;0,PI()*((D140/1000)^2)/4,0)</f>
        <v/>
      </c>
      <c r="J140">
        <f>IF(AND(I140&gt;0,E140&gt;0),E140/I140/3600,0)</f>
        <v/>
      </c>
      <c r="K140">
        <f>IF(UPPER(A140)="DIRSEK",(H140*J140*J140/2)*IFERROR(INDEX(Sabitler!$B$2:$E$11,MATCH(B140,Sabitler!$A$2:$A$11,0),MATCH(C140,Sabitler!$B$1:$E$1,0)),0),0)</f>
        <v/>
      </c>
      <c r="L140">
        <f>IF(UPPER(A140)="KANAL",IF(AND(D140&gt;0,J140&gt;0),(((1000*((0.85*(0.11*(((0.03/D140)+(68/(66.4*D140*J140)))^0.25)))+0.0028))/D140)*(H140*J140*J140/2)*1.15)*1.18,0),0)</f>
        <v/>
      </c>
      <c r="M140">
        <f>IF(UPPER(A140)="JET-CAP",2.0*(1.2*J140*J140/2),0)</f>
        <v/>
      </c>
      <c r="P140">
        <f>IF(UPPER(A140)="DIRSEK",K140*MAX(F140,1),IF(UPPER(A140)="KANAL",L140*MAX(G140,0),IF(UPPER(A140)="JET-CAP",M140,IF(UPPER(A140)="EKIPMAN",O140,0))))</f>
        <v/>
      </c>
    </row>
    <row r="141">
      <c r="H141">
        <f>(101325*EXP(-Ayarlar!$B$3/8434))/((Ayarlar!$B$2+273.15)*287.05)</f>
        <v/>
      </c>
      <c r="I141">
        <f>IF(D141&gt;0,PI()*((D141/1000)^2)/4,0)</f>
        <v/>
      </c>
      <c r="J141">
        <f>IF(AND(I141&gt;0,E141&gt;0),E141/I141/3600,0)</f>
        <v/>
      </c>
      <c r="K141">
        <f>IF(UPPER(A141)="DIRSEK",(H141*J141*J141/2)*IFERROR(INDEX(Sabitler!$B$2:$E$11,MATCH(B141,Sabitler!$A$2:$A$11,0),MATCH(C141,Sabitler!$B$1:$E$1,0)),0),0)</f>
        <v/>
      </c>
      <c r="L141">
        <f>IF(UPPER(A141)="KANAL",IF(AND(D141&gt;0,J141&gt;0),(((1000*((0.85*(0.11*(((0.03/D141)+(68/(66.4*D141*J141)))^0.25)))+0.0028))/D141)*(H141*J141*J141/2)*1.15)*1.18,0),0)</f>
        <v/>
      </c>
      <c r="M141">
        <f>IF(UPPER(A141)="JET-CAP",2.0*(1.2*J141*J141/2),0)</f>
        <v/>
      </c>
      <c r="P141">
        <f>IF(UPPER(A141)="DIRSEK",K141*MAX(F141,1),IF(UPPER(A141)="KANAL",L141*MAX(G141,0),IF(UPPER(A141)="JET-CAP",M141,IF(UPPER(A141)="EKIPMAN",O141,0))))</f>
        <v/>
      </c>
    </row>
    <row r="142">
      <c r="H142">
        <f>(101325*EXP(-Ayarlar!$B$3/8434))/((Ayarlar!$B$2+273.15)*287.05)</f>
        <v/>
      </c>
      <c r="I142">
        <f>IF(D142&gt;0,PI()*((D142/1000)^2)/4,0)</f>
        <v/>
      </c>
      <c r="J142">
        <f>IF(AND(I142&gt;0,E142&gt;0),E142/I142/3600,0)</f>
        <v/>
      </c>
      <c r="K142">
        <f>IF(UPPER(A142)="DIRSEK",(H142*J142*J142/2)*IFERROR(INDEX(Sabitler!$B$2:$E$11,MATCH(B142,Sabitler!$A$2:$A$11,0),MATCH(C142,Sabitler!$B$1:$E$1,0)),0),0)</f>
        <v/>
      </c>
      <c r="L142">
        <f>IF(UPPER(A142)="KANAL",IF(AND(D142&gt;0,J142&gt;0),(((1000*((0.85*(0.11*(((0.03/D142)+(68/(66.4*D142*J142)))^0.25)))+0.0028))/D142)*(H142*J142*J142/2)*1.15)*1.18,0),0)</f>
        <v/>
      </c>
      <c r="M142">
        <f>IF(UPPER(A142)="JET-CAP",2.0*(1.2*J142*J142/2),0)</f>
        <v/>
      </c>
      <c r="P142">
        <f>IF(UPPER(A142)="DIRSEK",K142*MAX(F142,1),IF(UPPER(A142)="KANAL",L142*MAX(G142,0),IF(UPPER(A142)="JET-CAP",M142,IF(UPPER(A142)="EKIPMAN",O142,0))))</f>
        <v/>
      </c>
    </row>
    <row r="143">
      <c r="H143">
        <f>(101325*EXP(-Ayarlar!$B$3/8434))/((Ayarlar!$B$2+273.15)*287.05)</f>
        <v/>
      </c>
      <c r="I143">
        <f>IF(D143&gt;0,PI()*((D143/1000)^2)/4,0)</f>
        <v/>
      </c>
      <c r="J143">
        <f>IF(AND(I143&gt;0,E143&gt;0),E143/I143/3600,0)</f>
        <v/>
      </c>
      <c r="K143">
        <f>IF(UPPER(A143)="DIRSEK",(H143*J143*J143/2)*IFERROR(INDEX(Sabitler!$B$2:$E$11,MATCH(B143,Sabitler!$A$2:$A$11,0),MATCH(C143,Sabitler!$B$1:$E$1,0)),0),0)</f>
        <v/>
      </c>
      <c r="L143">
        <f>IF(UPPER(A143)="KANAL",IF(AND(D143&gt;0,J143&gt;0),(((1000*((0.85*(0.11*(((0.03/D143)+(68/(66.4*D143*J143)))^0.25)))+0.0028))/D143)*(H143*J143*J143/2)*1.15)*1.18,0),0)</f>
        <v/>
      </c>
      <c r="M143">
        <f>IF(UPPER(A143)="JET-CAP",2.0*(1.2*J143*J143/2),0)</f>
        <v/>
      </c>
      <c r="P143">
        <f>IF(UPPER(A143)="DIRSEK",K143*MAX(F143,1),IF(UPPER(A143)="KANAL",L143*MAX(G143,0),IF(UPPER(A143)="JET-CAP",M143,IF(UPPER(A143)="EKIPMAN",O143,0))))</f>
        <v/>
      </c>
    </row>
    <row r="144">
      <c r="H144">
        <f>(101325*EXP(-Ayarlar!$B$3/8434))/((Ayarlar!$B$2+273.15)*287.05)</f>
        <v/>
      </c>
      <c r="I144">
        <f>IF(D144&gt;0,PI()*((D144/1000)^2)/4,0)</f>
        <v/>
      </c>
      <c r="J144">
        <f>IF(AND(I144&gt;0,E144&gt;0),E144/I144/3600,0)</f>
        <v/>
      </c>
      <c r="K144">
        <f>IF(UPPER(A144)="DIRSEK",(H144*J144*J144/2)*IFERROR(INDEX(Sabitler!$B$2:$E$11,MATCH(B144,Sabitler!$A$2:$A$11,0),MATCH(C144,Sabitler!$B$1:$E$1,0)),0),0)</f>
        <v/>
      </c>
      <c r="L144">
        <f>IF(UPPER(A144)="KANAL",IF(AND(D144&gt;0,J144&gt;0),(((1000*((0.85*(0.11*(((0.03/D144)+(68/(66.4*D144*J144)))^0.25)))+0.0028))/D144)*(H144*J144*J144/2)*1.15)*1.18,0),0)</f>
        <v/>
      </c>
      <c r="M144">
        <f>IF(UPPER(A144)="JET-CAP",2.0*(1.2*J144*J144/2),0)</f>
        <v/>
      </c>
      <c r="P144">
        <f>IF(UPPER(A144)="DIRSEK",K144*MAX(F144,1),IF(UPPER(A144)="KANAL",L144*MAX(G144,0),IF(UPPER(A144)="JET-CAP",M144,IF(UPPER(A144)="EKIPMAN",O144,0))))</f>
        <v/>
      </c>
    </row>
    <row r="145">
      <c r="H145">
        <f>(101325*EXP(-Ayarlar!$B$3/8434))/((Ayarlar!$B$2+273.15)*287.05)</f>
        <v/>
      </c>
      <c r="I145">
        <f>IF(D145&gt;0,PI()*((D145/1000)^2)/4,0)</f>
        <v/>
      </c>
      <c r="J145">
        <f>IF(AND(I145&gt;0,E145&gt;0),E145/I145/3600,0)</f>
        <v/>
      </c>
      <c r="K145">
        <f>IF(UPPER(A145)="DIRSEK",(H145*J145*J145/2)*IFERROR(INDEX(Sabitler!$B$2:$E$11,MATCH(B145,Sabitler!$A$2:$A$11,0),MATCH(C145,Sabitler!$B$1:$E$1,0)),0),0)</f>
        <v/>
      </c>
      <c r="L145">
        <f>IF(UPPER(A145)="KANAL",IF(AND(D145&gt;0,J145&gt;0),(((1000*((0.85*(0.11*(((0.03/D145)+(68/(66.4*D145*J145)))^0.25)))+0.0028))/D145)*(H145*J145*J145/2)*1.15)*1.18,0),0)</f>
        <v/>
      </c>
      <c r="M145">
        <f>IF(UPPER(A145)="JET-CAP",2.0*(1.2*J145*J145/2),0)</f>
        <v/>
      </c>
      <c r="P145">
        <f>IF(UPPER(A145)="DIRSEK",K145*MAX(F145,1),IF(UPPER(A145)="KANAL",L145*MAX(G145,0),IF(UPPER(A145)="JET-CAP",M145,IF(UPPER(A145)="EKIPMAN",O145,0))))</f>
        <v/>
      </c>
    </row>
    <row r="146">
      <c r="H146">
        <f>(101325*EXP(-Ayarlar!$B$3/8434))/((Ayarlar!$B$2+273.15)*287.05)</f>
        <v/>
      </c>
      <c r="I146">
        <f>IF(D146&gt;0,PI()*((D146/1000)^2)/4,0)</f>
        <v/>
      </c>
      <c r="J146">
        <f>IF(AND(I146&gt;0,E146&gt;0),E146/I146/3600,0)</f>
        <v/>
      </c>
      <c r="K146">
        <f>IF(UPPER(A146)="DIRSEK",(H146*J146*J146/2)*IFERROR(INDEX(Sabitler!$B$2:$E$11,MATCH(B146,Sabitler!$A$2:$A$11,0),MATCH(C146,Sabitler!$B$1:$E$1,0)),0),0)</f>
        <v/>
      </c>
      <c r="L146">
        <f>IF(UPPER(A146)="KANAL",IF(AND(D146&gt;0,J146&gt;0),(((1000*((0.85*(0.11*(((0.03/D146)+(68/(66.4*D146*J146)))^0.25)))+0.0028))/D146)*(H146*J146*J146/2)*1.15)*1.18,0),0)</f>
        <v/>
      </c>
      <c r="M146">
        <f>IF(UPPER(A146)="JET-CAP",2.0*(1.2*J146*J146/2),0)</f>
        <v/>
      </c>
      <c r="P146">
        <f>IF(UPPER(A146)="DIRSEK",K146*MAX(F146,1),IF(UPPER(A146)="KANAL",L146*MAX(G146,0),IF(UPPER(A146)="JET-CAP",M146,IF(UPPER(A146)="EKIPMAN",O146,0))))</f>
        <v/>
      </c>
    </row>
    <row r="147">
      <c r="H147">
        <f>(101325*EXP(-Ayarlar!$B$3/8434))/((Ayarlar!$B$2+273.15)*287.05)</f>
        <v/>
      </c>
      <c r="I147">
        <f>IF(D147&gt;0,PI()*((D147/1000)^2)/4,0)</f>
        <v/>
      </c>
      <c r="J147">
        <f>IF(AND(I147&gt;0,E147&gt;0),E147/I147/3600,0)</f>
        <v/>
      </c>
      <c r="K147">
        <f>IF(UPPER(A147)="DIRSEK",(H147*J147*J147/2)*IFERROR(INDEX(Sabitler!$B$2:$E$11,MATCH(B147,Sabitler!$A$2:$A$11,0),MATCH(C147,Sabitler!$B$1:$E$1,0)),0),0)</f>
        <v/>
      </c>
      <c r="L147">
        <f>IF(UPPER(A147)="KANAL",IF(AND(D147&gt;0,J147&gt;0),(((1000*((0.85*(0.11*(((0.03/D147)+(68/(66.4*D147*J147)))^0.25)))+0.0028))/D147)*(H147*J147*J147/2)*1.15)*1.18,0),0)</f>
        <v/>
      </c>
      <c r="M147">
        <f>IF(UPPER(A147)="JET-CAP",2.0*(1.2*J147*J147/2),0)</f>
        <v/>
      </c>
      <c r="P147">
        <f>IF(UPPER(A147)="DIRSEK",K147*MAX(F147,1),IF(UPPER(A147)="KANAL",L147*MAX(G147,0),IF(UPPER(A147)="JET-CAP",M147,IF(UPPER(A147)="EKIPMAN",O147,0))))</f>
        <v/>
      </c>
    </row>
    <row r="148">
      <c r="H148">
        <f>(101325*EXP(-Ayarlar!$B$3/8434))/((Ayarlar!$B$2+273.15)*287.05)</f>
        <v/>
      </c>
      <c r="I148">
        <f>IF(D148&gt;0,PI()*((D148/1000)^2)/4,0)</f>
        <v/>
      </c>
      <c r="J148">
        <f>IF(AND(I148&gt;0,E148&gt;0),E148/I148/3600,0)</f>
        <v/>
      </c>
      <c r="K148">
        <f>IF(UPPER(A148)="DIRSEK",(H148*J148*J148/2)*IFERROR(INDEX(Sabitler!$B$2:$E$11,MATCH(B148,Sabitler!$A$2:$A$11,0),MATCH(C148,Sabitler!$B$1:$E$1,0)),0),0)</f>
        <v/>
      </c>
      <c r="L148">
        <f>IF(UPPER(A148)="KANAL",IF(AND(D148&gt;0,J148&gt;0),(((1000*((0.85*(0.11*(((0.03/D148)+(68/(66.4*D148*J148)))^0.25)))+0.0028))/D148)*(H148*J148*J148/2)*1.15)*1.18,0),0)</f>
        <v/>
      </c>
      <c r="M148">
        <f>IF(UPPER(A148)="JET-CAP",2.0*(1.2*J148*J148/2),0)</f>
        <v/>
      </c>
      <c r="P148">
        <f>IF(UPPER(A148)="DIRSEK",K148*MAX(F148,1),IF(UPPER(A148)="KANAL",L148*MAX(G148,0),IF(UPPER(A148)="JET-CAP",M148,IF(UPPER(A148)="EKIPMAN",O148,0))))</f>
        <v/>
      </c>
    </row>
    <row r="149">
      <c r="H149">
        <f>(101325*EXP(-Ayarlar!$B$3/8434))/((Ayarlar!$B$2+273.15)*287.05)</f>
        <v/>
      </c>
      <c r="I149">
        <f>IF(D149&gt;0,PI()*((D149/1000)^2)/4,0)</f>
        <v/>
      </c>
      <c r="J149">
        <f>IF(AND(I149&gt;0,E149&gt;0),E149/I149/3600,0)</f>
        <v/>
      </c>
      <c r="K149">
        <f>IF(UPPER(A149)="DIRSEK",(H149*J149*J149/2)*IFERROR(INDEX(Sabitler!$B$2:$E$11,MATCH(B149,Sabitler!$A$2:$A$11,0),MATCH(C149,Sabitler!$B$1:$E$1,0)),0),0)</f>
        <v/>
      </c>
      <c r="L149">
        <f>IF(UPPER(A149)="KANAL",IF(AND(D149&gt;0,J149&gt;0),(((1000*((0.85*(0.11*(((0.03/D149)+(68/(66.4*D149*J149)))^0.25)))+0.0028))/D149)*(H149*J149*J149/2)*1.15)*1.18,0),0)</f>
        <v/>
      </c>
      <c r="M149">
        <f>IF(UPPER(A149)="JET-CAP",2.0*(1.2*J149*J149/2),0)</f>
        <v/>
      </c>
      <c r="P149">
        <f>IF(UPPER(A149)="DIRSEK",K149*MAX(F149,1),IF(UPPER(A149)="KANAL",L149*MAX(G149,0),IF(UPPER(A149)="JET-CAP",M149,IF(UPPER(A149)="EKIPMAN",O149,0))))</f>
        <v/>
      </c>
    </row>
    <row r="150">
      <c r="H150">
        <f>(101325*EXP(-Ayarlar!$B$3/8434))/((Ayarlar!$B$2+273.15)*287.05)</f>
        <v/>
      </c>
      <c r="I150">
        <f>IF(D150&gt;0,PI()*((D150/1000)^2)/4,0)</f>
        <v/>
      </c>
      <c r="J150">
        <f>IF(AND(I150&gt;0,E150&gt;0),E150/I150/3600,0)</f>
        <v/>
      </c>
      <c r="K150">
        <f>IF(UPPER(A150)="DIRSEK",(H150*J150*J150/2)*IFERROR(INDEX(Sabitler!$B$2:$E$11,MATCH(B150,Sabitler!$A$2:$A$11,0),MATCH(C150,Sabitler!$B$1:$E$1,0)),0),0)</f>
        <v/>
      </c>
      <c r="L150">
        <f>IF(UPPER(A150)="KANAL",IF(AND(D150&gt;0,J150&gt;0),(((1000*((0.85*(0.11*(((0.03/D150)+(68/(66.4*D150*J150)))^0.25)))+0.0028))/D150)*(H150*J150*J150/2)*1.15)*1.18,0),0)</f>
        <v/>
      </c>
      <c r="M150">
        <f>IF(UPPER(A150)="JET-CAP",2.0*(1.2*J150*J150/2),0)</f>
        <v/>
      </c>
      <c r="P150">
        <f>IF(UPPER(A150)="DIRSEK",K150*MAX(F150,1),IF(UPPER(A150)="KANAL",L150*MAX(G150,0),IF(UPPER(A150)="JET-CAP",M150,IF(UPPER(A150)="EKIPMAN",O150,0))))</f>
        <v/>
      </c>
    </row>
    <row r="151">
      <c r="H151">
        <f>(101325*EXP(-Ayarlar!$B$3/8434))/((Ayarlar!$B$2+273.15)*287.05)</f>
        <v/>
      </c>
      <c r="I151">
        <f>IF(D151&gt;0,PI()*((D151/1000)^2)/4,0)</f>
        <v/>
      </c>
      <c r="J151">
        <f>IF(AND(I151&gt;0,E151&gt;0),E151/I151/3600,0)</f>
        <v/>
      </c>
      <c r="K151">
        <f>IF(UPPER(A151)="DIRSEK",(H151*J151*J151/2)*IFERROR(INDEX(Sabitler!$B$2:$E$11,MATCH(B151,Sabitler!$A$2:$A$11,0),MATCH(C151,Sabitler!$B$1:$E$1,0)),0),0)</f>
        <v/>
      </c>
      <c r="L151">
        <f>IF(UPPER(A151)="KANAL",IF(AND(D151&gt;0,J151&gt;0),(((1000*((0.85*(0.11*(((0.03/D151)+(68/(66.4*D151*J151)))^0.25)))+0.0028))/D151)*(H151*J151*J151/2)*1.15)*1.18,0),0)</f>
        <v/>
      </c>
      <c r="M151">
        <f>IF(UPPER(A151)="JET-CAP",2.0*(1.2*J151*J151/2),0)</f>
        <v/>
      </c>
      <c r="P151">
        <f>IF(UPPER(A151)="DIRSEK",K151*MAX(F151,1),IF(UPPER(A151)="KANAL",L151*MAX(G151,0),IF(UPPER(A151)="JET-CAP",M151,IF(UPPER(A151)="EKIPMAN",O151,0))))</f>
        <v/>
      </c>
    </row>
    <row r="152">
      <c r="H152">
        <f>(101325*EXP(-Ayarlar!$B$3/8434))/((Ayarlar!$B$2+273.15)*287.05)</f>
        <v/>
      </c>
      <c r="I152">
        <f>IF(D152&gt;0,PI()*((D152/1000)^2)/4,0)</f>
        <v/>
      </c>
      <c r="J152">
        <f>IF(AND(I152&gt;0,E152&gt;0),E152/I152/3600,0)</f>
        <v/>
      </c>
      <c r="K152">
        <f>IF(UPPER(A152)="DIRSEK",(H152*J152*J152/2)*IFERROR(INDEX(Sabitler!$B$2:$E$11,MATCH(B152,Sabitler!$A$2:$A$11,0),MATCH(C152,Sabitler!$B$1:$E$1,0)),0),0)</f>
        <v/>
      </c>
      <c r="L152">
        <f>IF(UPPER(A152)="KANAL",IF(AND(D152&gt;0,J152&gt;0),(((1000*((0.85*(0.11*(((0.03/D152)+(68/(66.4*D152*J152)))^0.25)))+0.0028))/D152)*(H152*J152*J152/2)*1.15)*1.18,0),0)</f>
        <v/>
      </c>
      <c r="M152">
        <f>IF(UPPER(A152)="JET-CAP",2.0*(1.2*J152*J152/2),0)</f>
        <v/>
      </c>
      <c r="P152">
        <f>IF(UPPER(A152)="DIRSEK",K152*MAX(F152,1),IF(UPPER(A152)="KANAL",L152*MAX(G152,0),IF(UPPER(A152)="JET-CAP",M152,IF(UPPER(A152)="EKIPMAN",O152,0))))</f>
        <v/>
      </c>
    </row>
    <row r="153">
      <c r="H153">
        <f>(101325*EXP(-Ayarlar!$B$3/8434))/((Ayarlar!$B$2+273.15)*287.05)</f>
        <v/>
      </c>
      <c r="I153">
        <f>IF(D153&gt;0,PI()*((D153/1000)^2)/4,0)</f>
        <v/>
      </c>
      <c r="J153">
        <f>IF(AND(I153&gt;0,E153&gt;0),E153/I153/3600,0)</f>
        <v/>
      </c>
      <c r="K153">
        <f>IF(UPPER(A153)="DIRSEK",(H153*J153*J153/2)*IFERROR(INDEX(Sabitler!$B$2:$E$11,MATCH(B153,Sabitler!$A$2:$A$11,0),MATCH(C153,Sabitler!$B$1:$E$1,0)),0),0)</f>
        <v/>
      </c>
      <c r="L153">
        <f>IF(UPPER(A153)="KANAL",IF(AND(D153&gt;0,J153&gt;0),(((1000*((0.85*(0.11*(((0.03/D153)+(68/(66.4*D153*J153)))^0.25)))+0.0028))/D153)*(H153*J153*J153/2)*1.15)*1.18,0),0)</f>
        <v/>
      </c>
      <c r="M153">
        <f>IF(UPPER(A153)="JET-CAP",2.0*(1.2*J153*J153/2),0)</f>
        <v/>
      </c>
      <c r="P153">
        <f>IF(UPPER(A153)="DIRSEK",K153*MAX(F153,1),IF(UPPER(A153)="KANAL",L153*MAX(G153,0),IF(UPPER(A153)="JET-CAP",M153,IF(UPPER(A153)="EKIPMAN",O153,0))))</f>
        <v/>
      </c>
    </row>
    <row r="154">
      <c r="H154">
        <f>(101325*EXP(-Ayarlar!$B$3/8434))/((Ayarlar!$B$2+273.15)*287.05)</f>
        <v/>
      </c>
      <c r="I154">
        <f>IF(D154&gt;0,PI()*((D154/1000)^2)/4,0)</f>
        <v/>
      </c>
      <c r="J154">
        <f>IF(AND(I154&gt;0,E154&gt;0),E154/I154/3600,0)</f>
        <v/>
      </c>
      <c r="K154">
        <f>IF(UPPER(A154)="DIRSEK",(H154*J154*J154/2)*IFERROR(INDEX(Sabitler!$B$2:$E$11,MATCH(B154,Sabitler!$A$2:$A$11,0),MATCH(C154,Sabitler!$B$1:$E$1,0)),0),0)</f>
        <v/>
      </c>
      <c r="L154">
        <f>IF(UPPER(A154)="KANAL",IF(AND(D154&gt;0,J154&gt;0),(((1000*((0.85*(0.11*(((0.03/D154)+(68/(66.4*D154*J154)))^0.25)))+0.0028))/D154)*(H154*J154*J154/2)*1.15)*1.18,0),0)</f>
        <v/>
      </c>
      <c r="M154">
        <f>IF(UPPER(A154)="JET-CAP",2.0*(1.2*J154*J154/2),0)</f>
        <v/>
      </c>
      <c r="P154">
        <f>IF(UPPER(A154)="DIRSEK",K154*MAX(F154,1),IF(UPPER(A154)="KANAL",L154*MAX(G154,0),IF(UPPER(A154)="JET-CAP",M154,IF(UPPER(A154)="EKIPMAN",O154,0))))</f>
        <v/>
      </c>
    </row>
    <row r="155">
      <c r="H155">
        <f>(101325*EXP(-Ayarlar!$B$3/8434))/((Ayarlar!$B$2+273.15)*287.05)</f>
        <v/>
      </c>
      <c r="I155">
        <f>IF(D155&gt;0,PI()*((D155/1000)^2)/4,0)</f>
        <v/>
      </c>
      <c r="J155">
        <f>IF(AND(I155&gt;0,E155&gt;0),E155/I155/3600,0)</f>
        <v/>
      </c>
      <c r="K155">
        <f>IF(UPPER(A155)="DIRSEK",(H155*J155*J155/2)*IFERROR(INDEX(Sabitler!$B$2:$E$11,MATCH(B155,Sabitler!$A$2:$A$11,0),MATCH(C155,Sabitler!$B$1:$E$1,0)),0),0)</f>
        <v/>
      </c>
      <c r="L155">
        <f>IF(UPPER(A155)="KANAL",IF(AND(D155&gt;0,J155&gt;0),(((1000*((0.85*(0.11*(((0.03/D155)+(68/(66.4*D155*J155)))^0.25)))+0.0028))/D155)*(H155*J155*J155/2)*1.15)*1.18,0),0)</f>
        <v/>
      </c>
      <c r="M155">
        <f>IF(UPPER(A155)="JET-CAP",2.0*(1.2*J155*J155/2),0)</f>
        <v/>
      </c>
      <c r="P155">
        <f>IF(UPPER(A155)="DIRSEK",K155*MAX(F155,1),IF(UPPER(A155)="KANAL",L155*MAX(G155,0),IF(UPPER(A155)="JET-CAP",M155,IF(UPPER(A155)="EKIPMAN",O155,0))))</f>
        <v/>
      </c>
    </row>
    <row r="156">
      <c r="H156">
        <f>(101325*EXP(-Ayarlar!$B$3/8434))/((Ayarlar!$B$2+273.15)*287.05)</f>
        <v/>
      </c>
      <c r="I156">
        <f>IF(D156&gt;0,PI()*((D156/1000)^2)/4,0)</f>
        <v/>
      </c>
      <c r="J156">
        <f>IF(AND(I156&gt;0,E156&gt;0),E156/I156/3600,0)</f>
        <v/>
      </c>
      <c r="K156">
        <f>IF(UPPER(A156)="DIRSEK",(H156*J156*J156/2)*IFERROR(INDEX(Sabitler!$B$2:$E$11,MATCH(B156,Sabitler!$A$2:$A$11,0),MATCH(C156,Sabitler!$B$1:$E$1,0)),0),0)</f>
        <v/>
      </c>
      <c r="L156">
        <f>IF(UPPER(A156)="KANAL",IF(AND(D156&gt;0,J156&gt;0),(((1000*((0.85*(0.11*(((0.03/D156)+(68/(66.4*D156*J156)))^0.25)))+0.0028))/D156)*(H156*J156*J156/2)*1.15)*1.18,0),0)</f>
        <v/>
      </c>
      <c r="M156">
        <f>IF(UPPER(A156)="JET-CAP",2.0*(1.2*J156*J156/2),0)</f>
        <v/>
      </c>
      <c r="P156">
        <f>IF(UPPER(A156)="DIRSEK",K156*MAX(F156,1),IF(UPPER(A156)="KANAL",L156*MAX(G156,0),IF(UPPER(A156)="JET-CAP",M156,IF(UPPER(A156)="EKIPMAN",O156,0))))</f>
        <v/>
      </c>
    </row>
    <row r="157">
      <c r="H157">
        <f>(101325*EXP(-Ayarlar!$B$3/8434))/((Ayarlar!$B$2+273.15)*287.05)</f>
        <v/>
      </c>
      <c r="I157">
        <f>IF(D157&gt;0,PI()*((D157/1000)^2)/4,0)</f>
        <v/>
      </c>
      <c r="J157">
        <f>IF(AND(I157&gt;0,E157&gt;0),E157/I157/3600,0)</f>
        <v/>
      </c>
      <c r="K157">
        <f>IF(UPPER(A157)="DIRSEK",(H157*J157*J157/2)*IFERROR(INDEX(Sabitler!$B$2:$E$11,MATCH(B157,Sabitler!$A$2:$A$11,0),MATCH(C157,Sabitler!$B$1:$E$1,0)),0),0)</f>
        <v/>
      </c>
      <c r="L157">
        <f>IF(UPPER(A157)="KANAL",IF(AND(D157&gt;0,J157&gt;0),(((1000*((0.85*(0.11*(((0.03/D157)+(68/(66.4*D157*J157)))^0.25)))+0.0028))/D157)*(H157*J157*J157/2)*1.15)*1.18,0),0)</f>
        <v/>
      </c>
      <c r="M157">
        <f>IF(UPPER(A157)="JET-CAP",2.0*(1.2*J157*J157/2),0)</f>
        <v/>
      </c>
      <c r="P157">
        <f>IF(UPPER(A157)="DIRSEK",K157*MAX(F157,1),IF(UPPER(A157)="KANAL",L157*MAX(G157,0),IF(UPPER(A157)="JET-CAP",M157,IF(UPPER(A157)="EKIPMAN",O157,0))))</f>
        <v/>
      </c>
    </row>
    <row r="158">
      <c r="H158">
        <f>(101325*EXP(-Ayarlar!$B$3/8434))/((Ayarlar!$B$2+273.15)*287.05)</f>
        <v/>
      </c>
      <c r="I158">
        <f>IF(D158&gt;0,PI()*((D158/1000)^2)/4,0)</f>
        <v/>
      </c>
      <c r="J158">
        <f>IF(AND(I158&gt;0,E158&gt;0),E158/I158/3600,0)</f>
        <v/>
      </c>
      <c r="K158">
        <f>IF(UPPER(A158)="DIRSEK",(H158*J158*J158/2)*IFERROR(INDEX(Sabitler!$B$2:$E$11,MATCH(B158,Sabitler!$A$2:$A$11,0),MATCH(C158,Sabitler!$B$1:$E$1,0)),0),0)</f>
        <v/>
      </c>
      <c r="L158">
        <f>IF(UPPER(A158)="KANAL",IF(AND(D158&gt;0,J158&gt;0),(((1000*((0.85*(0.11*(((0.03/D158)+(68/(66.4*D158*J158)))^0.25)))+0.0028))/D158)*(H158*J158*J158/2)*1.15)*1.18,0),0)</f>
        <v/>
      </c>
      <c r="M158">
        <f>IF(UPPER(A158)="JET-CAP",2.0*(1.2*J158*J158/2),0)</f>
        <v/>
      </c>
      <c r="P158">
        <f>IF(UPPER(A158)="DIRSEK",K158*MAX(F158,1),IF(UPPER(A158)="KANAL",L158*MAX(G158,0),IF(UPPER(A158)="JET-CAP",M158,IF(UPPER(A158)="EKIPMAN",O158,0))))</f>
        <v/>
      </c>
    </row>
    <row r="159">
      <c r="H159">
        <f>(101325*EXP(-Ayarlar!$B$3/8434))/((Ayarlar!$B$2+273.15)*287.05)</f>
        <v/>
      </c>
      <c r="I159">
        <f>IF(D159&gt;0,PI()*((D159/1000)^2)/4,0)</f>
        <v/>
      </c>
      <c r="J159">
        <f>IF(AND(I159&gt;0,E159&gt;0),E159/I159/3600,0)</f>
        <v/>
      </c>
      <c r="K159">
        <f>IF(UPPER(A159)="DIRSEK",(H159*J159*J159/2)*IFERROR(INDEX(Sabitler!$B$2:$E$11,MATCH(B159,Sabitler!$A$2:$A$11,0),MATCH(C159,Sabitler!$B$1:$E$1,0)),0),0)</f>
        <v/>
      </c>
      <c r="L159">
        <f>IF(UPPER(A159)="KANAL",IF(AND(D159&gt;0,J159&gt;0),(((1000*((0.85*(0.11*(((0.03/D159)+(68/(66.4*D159*J159)))^0.25)))+0.0028))/D159)*(H159*J159*J159/2)*1.15)*1.18,0),0)</f>
        <v/>
      </c>
      <c r="M159">
        <f>IF(UPPER(A159)="JET-CAP",2.0*(1.2*J159*J159/2),0)</f>
        <v/>
      </c>
      <c r="P159">
        <f>IF(UPPER(A159)="DIRSEK",K159*MAX(F159,1),IF(UPPER(A159)="KANAL",L159*MAX(G159,0),IF(UPPER(A159)="JET-CAP",M159,IF(UPPER(A159)="EKIPMAN",O159,0))))</f>
        <v/>
      </c>
    </row>
    <row r="160">
      <c r="H160">
        <f>(101325*EXP(-Ayarlar!$B$3/8434))/((Ayarlar!$B$2+273.15)*287.05)</f>
        <v/>
      </c>
      <c r="I160">
        <f>IF(D160&gt;0,PI()*((D160/1000)^2)/4,0)</f>
        <v/>
      </c>
      <c r="J160">
        <f>IF(AND(I160&gt;0,E160&gt;0),E160/I160/3600,0)</f>
        <v/>
      </c>
      <c r="K160">
        <f>IF(UPPER(A160)="DIRSEK",(H160*J160*J160/2)*IFERROR(INDEX(Sabitler!$B$2:$E$11,MATCH(B160,Sabitler!$A$2:$A$11,0),MATCH(C160,Sabitler!$B$1:$E$1,0)),0),0)</f>
        <v/>
      </c>
      <c r="L160">
        <f>IF(UPPER(A160)="KANAL",IF(AND(D160&gt;0,J160&gt;0),(((1000*((0.85*(0.11*(((0.03/D160)+(68/(66.4*D160*J160)))^0.25)))+0.0028))/D160)*(H160*J160*J160/2)*1.15)*1.18,0),0)</f>
        <v/>
      </c>
      <c r="M160">
        <f>IF(UPPER(A160)="JET-CAP",2.0*(1.2*J160*J160/2),0)</f>
        <v/>
      </c>
      <c r="P160">
        <f>IF(UPPER(A160)="DIRSEK",K160*MAX(F160,1),IF(UPPER(A160)="KANAL",L160*MAX(G160,0),IF(UPPER(A160)="JET-CAP",M160,IF(UPPER(A160)="EKIPMAN",O160,0))))</f>
        <v/>
      </c>
    </row>
    <row r="161">
      <c r="H161">
        <f>(101325*EXP(-Ayarlar!$B$3/8434))/((Ayarlar!$B$2+273.15)*287.05)</f>
        <v/>
      </c>
      <c r="I161">
        <f>IF(D161&gt;0,PI()*((D161/1000)^2)/4,0)</f>
        <v/>
      </c>
      <c r="J161">
        <f>IF(AND(I161&gt;0,E161&gt;0),E161/I161/3600,0)</f>
        <v/>
      </c>
      <c r="K161">
        <f>IF(UPPER(A161)="DIRSEK",(H161*J161*J161/2)*IFERROR(INDEX(Sabitler!$B$2:$E$11,MATCH(B161,Sabitler!$A$2:$A$11,0),MATCH(C161,Sabitler!$B$1:$E$1,0)),0),0)</f>
        <v/>
      </c>
      <c r="L161">
        <f>IF(UPPER(A161)="KANAL",IF(AND(D161&gt;0,J161&gt;0),(((1000*((0.85*(0.11*(((0.03/D161)+(68/(66.4*D161*J161)))^0.25)))+0.0028))/D161)*(H161*J161*J161/2)*1.15)*1.18,0),0)</f>
        <v/>
      </c>
      <c r="M161">
        <f>IF(UPPER(A161)="JET-CAP",2.0*(1.2*J161*J161/2),0)</f>
        <v/>
      </c>
      <c r="P161">
        <f>IF(UPPER(A161)="DIRSEK",K161*MAX(F161,1),IF(UPPER(A161)="KANAL",L161*MAX(G161,0),IF(UPPER(A161)="JET-CAP",M161,IF(UPPER(A161)="EKIPMAN",O161,0))))</f>
        <v/>
      </c>
    </row>
    <row r="162">
      <c r="H162">
        <f>(101325*EXP(-Ayarlar!$B$3/8434))/((Ayarlar!$B$2+273.15)*287.05)</f>
        <v/>
      </c>
      <c r="I162">
        <f>IF(D162&gt;0,PI()*((D162/1000)^2)/4,0)</f>
        <v/>
      </c>
      <c r="J162">
        <f>IF(AND(I162&gt;0,E162&gt;0),E162/I162/3600,0)</f>
        <v/>
      </c>
      <c r="K162">
        <f>IF(UPPER(A162)="DIRSEK",(H162*J162*J162/2)*IFERROR(INDEX(Sabitler!$B$2:$E$11,MATCH(B162,Sabitler!$A$2:$A$11,0),MATCH(C162,Sabitler!$B$1:$E$1,0)),0),0)</f>
        <v/>
      </c>
      <c r="L162">
        <f>IF(UPPER(A162)="KANAL",IF(AND(D162&gt;0,J162&gt;0),(((1000*((0.85*(0.11*(((0.03/D162)+(68/(66.4*D162*J162)))^0.25)))+0.0028))/D162)*(H162*J162*J162/2)*1.15)*1.18,0),0)</f>
        <v/>
      </c>
      <c r="M162">
        <f>IF(UPPER(A162)="JET-CAP",2.0*(1.2*J162*J162/2),0)</f>
        <v/>
      </c>
      <c r="P162">
        <f>IF(UPPER(A162)="DIRSEK",K162*MAX(F162,1),IF(UPPER(A162)="KANAL",L162*MAX(G162,0),IF(UPPER(A162)="JET-CAP",M162,IF(UPPER(A162)="EKIPMAN",O162,0))))</f>
        <v/>
      </c>
    </row>
    <row r="163">
      <c r="H163">
        <f>(101325*EXP(-Ayarlar!$B$3/8434))/((Ayarlar!$B$2+273.15)*287.05)</f>
        <v/>
      </c>
      <c r="I163">
        <f>IF(D163&gt;0,PI()*((D163/1000)^2)/4,0)</f>
        <v/>
      </c>
      <c r="J163">
        <f>IF(AND(I163&gt;0,E163&gt;0),E163/I163/3600,0)</f>
        <v/>
      </c>
      <c r="K163">
        <f>IF(UPPER(A163)="DIRSEK",(H163*J163*J163/2)*IFERROR(INDEX(Sabitler!$B$2:$E$11,MATCH(B163,Sabitler!$A$2:$A$11,0),MATCH(C163,Sabitler!$B$1:$E$1,0)),0),0)</f>
        <v/>
      </c>
      <c r="L163">
        <f>IF(UPPER(A163)="KANAL",IF(AND(D163&gt;0,J163&gt;0),(((1000*((0.85*(0.11*(((0.03/D163)+(68/(66.4*D163*J163)))^0.25)))+0.0028))/D163)*(H163*J163*J163/2)*1.15)*1.18,0),0)</f>
        <v/>
      </c>
      <c r="M163">
        <f>IF(UPPER(A163)="JET-CAP",2.0*(1.2*J163*J163/2),0)</f>
        <v/>
      </c>
      <c r="P163">
        <f>IF(UPPER(A163)="DIRSEK",K163*MAX(F163,1),IF(UPPER(A163)="KANAL",L163*MAX(G163,0),IF(UPPER(A163)="JET-CAP",M163,IF(UPPER(A163)="EKIPMAN",O163,0))))</f>
        <v/>
      </c>
    </row>
    <row r="164">
      <c r="H164">
        <f>(101325*EXP(-Ayarlar!$B$3/8434))/((Ayarlar!$B$2+273.15)*287.05)</f>
        <v/>
      </c>
      <c r="I164">
        <f>IF(D164&gt;0,PI()*((D164/1000)^2)/4,0)</f>
        <v/>
      </c>
      <c r="J164">
        <f>IF(AND(I164&gt;0,E164&gt;0),E164/I164/3600,0)</f>
        <v/>
      </c>
      <c r="K164">
        <f>IF(UPPER(A164)="DIRSEK",(H164*J164*J164/2)*IFERROR(INDEX(Sabitler!$B$2:$E$11,MATCH(B164,Sabitler!$A$2:$A$11,0),MATCH(C164,Sabitler!$B$1:$E$1,0)),0),0)</f>
        <v/>
      </c>
      <c r="L164">
        <f>IF(UPPER(A164)="KANAL",IF(AND(D164&gt;0,J164&gt;0),(((1000*((0.85*(0.11*(((0.03/D164)+(68/(66.4*D164*J164)))^0.25)))+0.0028))/D164)*(H164*J164*J164/2)*1.15)*1.18,0),0)</f>
        <v/>
      </c>
      <c r="M164">
        <f>IF(UPPER(A164)="JET-CAP",2.0*(1.2*J164*J164/2),0)</f>
        <v/>
      </c>
      <c r="P164">
        <f>IF(UPPER(A164)="DIRSEK",K164*MAX(F164,1),IF(UPPER(A164)="KANAL",L164*MAX(G164,0),IF(UPPER(A164)="JET-CAP",M164,IF(UPPER(A164)="EKIPMAN",O164,0))))</f>
        <v/>
      </c>
    </row>
    <row r="165">
      <c r="H165">
        <f>(101325*EXP(-Ayarlar!$B$3/8434))/((Ayarlar!$B$2+273.15)*287.05)</f>
        <v/>
      </c>
      <c r="I165">
        <f>IF(D165&gt;0,PI()*((D165/1000)^2)/4,0)</f>
        <v/>
      </c>
      <c r="J165">
        <f>IF(AND(I165&gt;0,E165&gt;0),E165/I165/3600,0)</f>
        <v/>
      </c>
      <c r="K165">
        <f>IF(UPPER(A165)="DIRSEK",(H165*J165*J165/2)*IFERROR(INDEX(Sabitler!$B$2:$E$11,MATCH(B165,Sabitler!$A$2:$A$11,0),MATCH(C165,Sabitler!$B$1:$E$1,0)),0),0)</f>
        <v/>
      </c>
      <c r="L165">
        <f>IF(UPPER(A165)="KANAL",IF(AND(D165&gt;0,J165&gt;0),(((1000*((0.85*(0.11*(((0.03/D165)+(68/(66.4*D165*J165)))^0.25)))+0.0028))/D165)*(H165*J165*J165/2)*1.15)*1.18,0),0)</f>
        <v/>
      </c>
      <c r="M165">
        <f>IF(UPPER(A165)="JET-CAP",2.0*(1.2*J165*J165/2),0)</f>
        <v/>
      </c>
      <c r="P165">
        <f>IF(UPPER(A165)="DIRSEK",K165*MAX(F165,1),IF(UPPER(A165)="KANAL",L165*MAX(G165,0),IF(UPPER(A165)="JET-CAP",M165,IF(UPPER(A165)="EKIPMAN",O165,0))))</f>
        <v/>
      </c>
    </row>
    <row r="166">
      <c r="H166">
        <f>(101325*EXP(-Ayarlar!$B$3/8434))/((Ayarlar!$B$2+273.15)*287.05)</f>
        <v/>
      </c>
      <c r="I166">
        <f>IF(D166&gt;0,PI()*((D166/1000)^2)/4,0)</f>
        <v/>
      </c>
      <c r="J166">
        <f>IF(AND(I166&gt;0,E166&gt;0),E166/I166/3600,0)</f>
        <v/>
      </c>
      <c r="K166">
        <f>IF(UPPER(A166)="DIRSEK",(H166*J166*J166/2)*IFERROR(INDEX(Sabitler!$B$2:$E$11,MATCH(B166,Sabitler!$A$2:$A$11,0),MATCH(C166,Sabitler!$B$1:$E$1,0)),0),0)</f>
        <v/>
      </c>
      <c r="L166">
        <f>IF(UPPER(A166)="KANAL",IF(AND(D166&gt;0,J166&gt;0),(((1000*((0.85*(0.11*(((0.03/D166)+(68/(66.4*D166*J166)))^0.25)))+0.0028))/D166)*(H166*J166*J166/2)*1.15)*1.18,0),0)</f>
        <v/>
      </c>
      <c r="M166">
        <f>IF(UPPER(A166)="JET-CAP",2.0*(1.2*J166*J166/2),0)</f>
        <v/>
      </c>
      <c r="P166">
        <f>IF(UPPER(A166)="DIRSEK",K166*MAX(F166,1),IF(UPPER(A166)="KANAL",L166*MAX(G166,0),IF(UPPER(A166)="JET-CAP",M166,IF(UPPER(A166)="EKIPMAN",O166,0))))</f>
        <v/>
      </c>
    </row>
    <row r="167">
      <c r="H167">
        <f>(101325*EXP(-Ayarlar!$B$3/8434))/((Ayarlar!$B$2+273.15)*287.05)</f>
        <v/>
      </c>
      <c r="I167">
        <f>IF(D167&gt;0,PI()*((D167/1000)^2)/4,0)</f>
        <v/>
      </c>
      <c r="J167">
        <f>IF(AND(I167&gt;0,E167&gt;0),E167/I167/3600,0)</f>
        <v/>
      </c>
      <c r="K167">
        <f>IF(UPPER(A167)="DIRSEK",(H167*J167*J167/2)*IFERROR(INDEX(Sabitler!$B$2:$E$11,MATCH(B167,Sabitler!$A$2:$A$11,0),MATCH(C167,Sabitler!$B$1:$E$1,0)),0),0)</f>
        <v/>
      </c>
      <c r="L167">
        <f>IF(UPPER(A167)="KANAL",IF(AND(D167&gt;0,J167&gt;0),(((1000*((0.85*(0.11*(((0.03/D167)+(68/(66.4*D167*J167)))^0.25)))+0.0028))/D167)*(H167*J167*J167/2)*1.15)*1.18,0),0)</f>
        <v/>
      </c>
      <c r="M167">
        <f>IF(UPPER(A167)="JET-CAP",2.0*(1.2*J167*J167/2),0)</f>
        <v/>
      </c>
      <c r="P167">
        <f>IF(UPPER(A167)="DIRSEK",K167*MAX(F167,1),IF(UPPER(A167)="KANAL",L167*MAX(G167,0),IF(UPPER(A167)="JET-CAP",M167,IF(UPPER(A167)="EKIPMAN",O167,0))))</f>
        <v/>
      </c>
    </row>
    <row r="168">
      <c r="H168">
        <f>(101325*EXP(-Ayarlar!$B$3/8434))/((Ayarlar!$B$2+273.15)*287.05)</f>
        <v/>
      </c>
      <c r="I168">
        <f>IF(D168&gt;0,PI()*((D168/1000)^2)/4,0)</f>
        <v/>
      </c>
      <c r="J168">
        <f>IF(AND(I168&gt;0,E168&gt;0),E168/I168/3600,0)</f>
        <v/>
      </c>
      <c r="K168">
        <f>IF(UPPER(A168)="DIRSEK",(H168*J168*J168/2)*IFERROR(INDEX(Sabitler!$B$2:$E$11,MATCH(B168,Sabitler!$A$2:$A$11,0),MATCH(C168,Sabitler!$B$1:$E$1,0)),0),0)</f>
        <v/>
      </c>
      <c r="L168">
        <f>IF(UPPER(A168)="KANAL",IF(AND(D168&gt;0,J168&gt;0),(((1000*((0.85*(0.11*(((0.03/D168)+(68/(66.4*D168*J168)))^0.25)))+0.0028))/D168)*(H168*J168*J168/2)*1.15)*1.18,0),0)</f>
        <v/>
      </c>
      <c r="M168">
        <f>IF(UPPER(A168)="JET-CAP",2.0*(1.2*J168*J168/2),0)</f>
        <v/>
      </c>
      <c r="P168">
        <f>IF(UPPER(A168)="DIRSEK",K168*MAX(F168,1),IF(UPPER(A168)="KANAL",L168*MAX(G168,0),IF(UPPER(A168)="JET-CAP",M168,IF(UPPER(A168)="EKIPMAN",O168,0))))</f>
        <v/>
      </c>
    </row>
    <row r="169">
      <c r="H169">
        <f>(101325*EXP(-Ayarlar!$B$3/8434))/((Ayarlar!$B$2+273.15)*287.05)</f>
        <v/>
      </c>
      <c r="I169">
        <f>IF(D169&gt;0,PI()*((D169/1000)^2)/4,0)</f>
        <v/>
      </c>
      <c r="J169">
        <f>IF(AND(I169&gt;0,E169&gt;0),E169/I169/3600,0)</f>
        <v/>
      </c>
      <c r="K169">
        <f>IF(UPPER(A169)="DIRSEK",(H169*J169*J169/2)*IFERROR(INDEX(Sabitler!$B$2:$E$11,MATCH(B169,Sabitler!$A$2:$A$11,0),MATCH(C169,Sabitler!$B$1:$E$1,0)),0),0)</f>
        <v/>
      </c>
      <c r="L169">
        <f>IF(UPPER(A169)="KANAL",IF(AND(D169&gt;0,J169&gt;0),(((1000*((0.85*(0.11*(((0.03/D169)+(68/(66.4*D169*J169)))^0.25)))+0.0028))/D169)*(H169*J169*J169/2)*1.15)*1.18,0),0)</f>
        <v/>
      </c>
      <c r="M169">
        <f>IF(UPPER(A169)="JET-CAP",2.0*(1.2*J169*J169/2),0)</f>
        <v/>
      </c>
      <c r="P169">
        <f>IF(UPPER(A169)="DIRSEK",K169*MAX(F169,1),IF(UPPER(A169)="KANAL",L169*MAX(G169,0),IF(UPPER(A169)="JET-CAP",M169,IF(UPPER(A169)="EKIPMAN",O169,0))))</f>
        <v/>
      </c>
    </row>
    <row r="170">
      <c r="H170">
        <f>(101325*EXP(-Ayarlar!$B$3/8434))/((Ayarlar!$B$2+273.15)*287.05)</f>
        <v/>
      </c>
      <c r="I170">
        <f>IF(D170&gt;0,PI()*((D170/1000)^2)/4,0)</f>
        <v/>
      </c>
      <c r="J170">
        <f>IF(AND(I170&gt;0,E170&gt;0),E170/I170/3600,0)</f>
        <v/>
      </c>
      <c r="K170">
        <f>IF(UPPER(A170)="DIRSEK",(H170*J170*J170/2)*IFERROR(INDEX(Sabitler!$B$2:$E$11,MATCH(B170,Sabitler!$A$2:$A$11,0),MATCH(C170,Sabitler!$B$1:$E$1,0)),0),0)</f>
        <v/>
      </c>
      <c r="L170">
        <f>IF(UPPER(A170)="KANAL",IF(AND(D170&gt;0,J170&gt;0),(((1000*((0.85*(0.11*(((0.03/D170)+(68/(66.4*D170*J170)))^0.25)))+0.0028))/D170)*(H170*J170*J170/2)*1.15)*1.18,0),0)</f>
        <v/>
      </c>
      <c r="M170">
        <f>IF(UPPER(A170)="JET-CAP",2.0*(1.2*J170*J170/2),0)</f>
        <v/>
      </c>
      <c r="P170">
        <f>IF(UPPER(A170)="DIRSEK",K170*MAX(F170,1),IF(UPPER(A170)="KANAL",L170*MAX(G170,0),IF(UPPER(A170)="JET-CAP",M170,IF(UPPER(A170)="EKIPMAN",O170,0))))</f>
        <v/>
      </c>
    </row>
    <row r="171">
      <c r="H171">
        <f>(101325*EXP(-Ayarlar!$B$3/8434))/((Ayarlar!$B$2+273.15)*287.05)</f>
        <v/>
      </c>
      <c r="I171">
        <f>IF(D171&gt;0,PI()*((D171/1000)^2)/4,0)</f>
        <v/>
      </c>
      <c r="J171">
        <f>IF(AND(I171&gt;0,E171&gt;0),E171/I171/3600,0)</f>
        <v/>
      </c>
      <c r="K171">
        <f>IF(UPPER(A171)="DIRSEK",(H171*J171*J171/2)*IFERROR(INDEX(Sabitler!$B$2:$E$11,MATCH(B171,Sabitler!$A$2:$A$11,0),MATCH(C171,Sabitler!$B$1:$E$1,0)),0),0)</f>
        <v/>
      </c>
      <c r="L171">
        <f>IF(UPPER(A171)="KANAL",IF(AND(D171&gt;0,J171&gt;0),(((1000*((0.85*(0.11*(((0.03/D171)+(68/(66.4*D171*J171)))^0.25)))+0.0028))/D171)*(H171*J171*J171/2)*1.15)*1.18,0),0)</f>
        <v/>
      </c>
      <c r="M171">
        <f>IF(UPPER(A171)="JET-CAP",2.0*(1.2*J171*J171/2),0)</f>
        <v/>
      </c>
      <c r="P171">
        <f>IF(UPPER(A171)="DIRSEK",K171*MAX(F171,1),IF(UPPER(A171)="KANAL",L171*MAX(G171,0),IF(UPPER(A171)="JET-CAP",M171,IF(UPPER(A171)="EKIPMAN",O171,0))))</f>
        <v/>
      </c>
    </row>
    <row r="172">
      <c r="H172">
        <f>(101325*EXP(-Ayarlar!$B$3/8434))/((Ayarlar!$B$2+273.15)*287.05)</f>
        <v/>
      </c>
      <c r="I172">
        <f>IF(D172&gt;0,PI()*((D172/1000)^2)/4,0)</f>
        <v/>
      </c>
      <c r="J172">
        <f>IF(AND(I172&gt;0,E172&gt;0),E172/I172/3600,0)</f>
        <v/>
      </c>
      <c r="K172">
        <f>IF(UPPER(A172)="DIRSEK",(H172*J172*J172/2)*IFERROR(INDEX(Sabitler!$B$2:$E$11,MATCH(B172,Sabitler!$A$2:$A$11,0),MATCH(C172,Sabitler!$B$1:$E$1,0)),0),0)</f>
        <v/>
      </c>
      <c r="L172">
        <f>IF(UPPER(A172)="KANAL",IF(AND(D172&gt;0,J172&gt;0),(((1000*((0.85*(0.11*(((0.03/D172)+(68/(66.4*D172*J172)))^0.25)))+0.0028))/D172)*(H172*J172*J172/2)*1.15)*1.18,0),0)</f>
        <v/>
      </c>
      <c r="M172">
        <f>IF(UPPER(A172)="JET-CAP",2.0*(1.2*J172*J172/2),0)</f>
        <v/>
      </c>
      <c r="P172">
        <f>IF(UPPER(A172)="DIRSEK",K172*MAX(F172,1),IF(UPPER(A172)="KANAL",L172*MAX(G172,0),IF(UPPER(A172)="JET-CAP",M172,IF(UPPER(A172)="EKIPMAN",O172,0))))</f>
        <v/>
      </c>
    </row>
    <row r="173">
      <c r="H173">
        <f>(101325*EXP(-Ayarlar!$B$3/8434))/((Ayarlar!$B$2+273.15)*287.05)</f>
        <v/>
      </c>
      <c r="I173">
        <f>IF(D173&gt;0,PI()*((D173/1000)^2)/4,0)</f>
        <v/>
      </c>
      <c r="J173">
        <f>IF(AND(I173&gt;0,E173&gt;0),E173/I173/3600,0)</f>
        <v/>
      </c>
      <c r="K173">
        <f>IF(UPPER(A173)="DIRSEK",(H173*J173*J173/2)*IFERROR(INDEX(Sabitler!$B$2:$E$11,MATCH(B173,Sabitler!$A$2:$A$11,0),MATCH(C173,Sabitler!$B$1:$E$1,0)),0),0)</f>
        <v/>
      </c>
      <c r="L173">
        <f>IF(UPPER(A173)="KANAL",IF(AND(D173&gt;0,J173&gt;0),(((1000*((0.85*(0.11*(((0.03/D173)+(68/(66.4*D173*J173)))^0.25)))+0.0028))/D173)*(H173*J173*J173/2)*1.15)*1.18,0),0)</f>
        <v/>
      </c>
      <c r="M173">
        <f>IF(UPPER(A173)="JET-CAP",2.0*(1.2*J173*J173/2),0)</f>
        <v/>
      </c>
      <c r="P173">
        <f>IF(UPPER(A173)="DIRSEK",K173*MAX(F173,1),IF(UPPER(A173)="KANAL",L173*MAX(G173,0),IF(UPPER(A173)="JET-CAP",M173,IF(UPPER(A173)="EKIPMAN",O173,0))))</f>
        <v/>
      </c>
    </row>
    <row r="174">
      <c r="H174">
        <f>(101325*EXP(-Ayarlar!$B$3/8434))/((Ayarlar!$B$2+273.15)*287.05)</f>
        <v/>
      </c>
      <c r="I174">
        <f>IF(D174&gt;0,PI()*((D174/1000)^2)/4,0)</f>
        <v/>
      </c>
      <c r="J174">
        <f>IF(AND(I174&gt;0,E174&gt;0),E174/I174/3600,0)</f>
        <v/>
      </c>
      <c r="K174">
        <f>IF(UPPER(A174)="DIRSEK",(H174*J174*J174/2)*IFERROR(INDEX(Sabitler!$B$2:$E$11,MATCH(B174,Sabitler!$A$2:$A$11,0),MATCH(C174,Sabitler!$B$1:$E$1,0)),0),0)</f>
        <v/>
      </c>
      <c r="L174">
        <f>IF(UPPER(A174)="KANAL",IF(AND(D174&gt;0,J174&gt;0),(((1000*((0.85*(0.11*(((0.03/D174)+(68/(66.4*D174*J174)))^0.25)))+0.0028))/D174)*(H174*J174*J174/2)*1.15)*1.18,0),0)</f>
        <v/>
      </c>
      <c r="M174">
        <f>IF(UPPER(A174)="JET-CAP",2.0*(1.2*J174*J174/2),0)</f>
        <v/>
      </c>
      <c r="P174">
        <f>IF(UPPER(A174)="DIRSEK",K174*MAX(F174,1),IF(UPPER(A174)="KANAL",L174*MAX(G174,0),IF(UPPER(A174)="JET-CAP",M174,IF(UPPER(A174)="EKIPMAN",O174,0))))</f>
        <v/>
      </c>
    </row>
    <row r="175">
      <c r="H175">
        <f>(101325*EXP(-Ayarlar!$B$3/8434))/((Ayarlar!$B$2+273.15)*287.05)</f>
        <v/>
      </c>
      <c r="I175">
        <f>IF(D175&gt;0,PI()*((D175/1000)^2)/4,0)</f>
        <v/>
      </c>
      <c r="J175">
        <f>IF(AND(I175&gt;0,E175&gt;0),E175/I175/3600,0)</f>
        <v/>
      </c>
      <c r="K175">
        <f>IF(UPPER(A175)="DIRSEK",(H175*J175*J175/2)*IFERROR(INDEX(Sabitler!$B$2:$E$11,MATCH(B175,Sabitler!$A$2:$A$11,0),MATCH(C175,Sabitler!$B$1:$E$1,0)),0),0)</f>
        <v/>
      </c>
      <c r="L175">
        <f>IF(UPPER(A175)="KANAL",IF(AND(D175&gt;0,J175&gt;0),(((1000*((0.85*(0.11*(((0.03/D175)+(68/(66.4*D175*J175)))^0.25)))+0.0028))/D175)*(H175*J175*J175/2)*1.15)*1.18,0),0)</f>
        <v/>
      </c>
      <c r="M175">
        <f>IF(UPPER(A175)="JET-CAP",2.0*(1.2*J175*J175/2),0)</f>
        <v/>
      </c>
      <c r="P175">
        <f>IF(UPPER(A175)="DIRSEK",K175*MAX(F175,1),IF(UPPER(A175)="KANAL",L175*MAX(G175,0),IF(UPPER(A175)="JET-CAP",M175,IF(UPPER(A175)="EKIPMAN",O175,0))))</f>
        <v/>
      </c>
    </row>
    <row r="176">
      <c r="H176">
        <f>(101325*EXP(-Ayarlar!$B$3/8434))/((Ayarlar!$B$2+273.15)*287.05)</f>
        <v/>
      </c>
      <c r="I176">
        <f>IF(D176&gt;0,PI()*((D176/1000)^2)/4,0)</f>
        <v/>
      </c>
      <c r="J176">
        <f>IF(AND(I176&gt;0,E176&gt;0),E176/I176/3600,0)</f>
        <v/>
      </c>
      <c r="K176">
        <f>IF(UPPER(A176)="DIRSEK",(H176*J176*J176/2)*IFERROR(INDEX(Sabitler!$B$2:$E$11,MATCH(B176,Sabitler!$A$2:$A$11,0),MATCH(C176,Sabitler!$B$1:$E$1,0)),0),0)</f>
        <v/>
      </c>
      <c r="L176">
        <f>IF(UPPER(A176)="KANAL",IF(AND(D176&gt;0,J176&gt;0),(((1000*((0.85*(0.11*(((0.03/D176)+(68/(66.4*D176*J176)))^0.25)))+0.0028))/D176)*(H176*J176*J176/2)*1.15)*1.18,0),0)</f>
        <v/>
      </c>
      <c r="M176">
        <f>IF(UPPER(A176)="JET-CAP",2.0*(1.2*J176*J176/2),0)</f>
        <v/>
      </c>
      <c r="P176">
        <f>IF(UPPER(A176)="DIRSEK",K176*MAX(F176,1),IF(UPPER(A176)="KANAL",L176*MAX(G176,0),IF(UPPER(A176)="JET-CAP",M176,IF(UPPER(A176)="EKIPMAN",O176,0))))</f>
        <v/>
      </c>
    </row>
    <row r="177">
      <c r="H177">
        <f>(101325*EXP(-Ayarlar!$B$3/8434))/((Ayarlar!$B$2+273.15)*287.05)</f>
        <v/>
      </c>
      <c r="I177">
        <f>IF(D177&gt;0,PI()*((D177/1000)^2)/4,0)</f>
        <v/>
      </c>
      <c r="J177">
        <f>IF(AND(I177&gt;0,E177&gt;0),E177/I177/3600,0)</f>
        <v/>
      </c>
      <c r="K177">
        <f>IF(UPPER(A177)="DIRSEK",(H177*J177*J177/2)*IFERROR(INDEX(Sabitler!$B$2:$E$11,MATCH(B177,Sabitler!$A$2:$A$11,0),MATCH(C177,Sabitler!$B$1:$E$1,0)),0),0)</f>
        <v/>
      </c>
      <c r="L177">
        <f>IF(UPPER(A177)="KANAL",IF(AND(D177&gt;0,J177&gt;0),(((1000*((0.85*(0.11*(((0.03/D177)+(68/(66.4*D177*J177)))^0.25)))+0.0028))/D177)*(H177*J177*J177/2)*1.15)*1.18,0),0)</f>
        <v/>
      </c>
      <c r="M177">
        <f>IF(UPPER(A177)="JET-CAP",2.0*(1.2*J177*J177/2),0)</f>
        <v/>
      </c>
      <c r="P177">
        <f>IF(UPPER(A177)="DIRSEK",K177*MAX(F177,1),IF(UPPER(A177)="KANAL",L177*MAX(G177,0),IF(UPPER(A177)="JET-CAP",M177,IF(UPPER(A177)="EKIPMAN",O177,0))))</f>
        <v/>
      </c>
    </row>
    <row r="178">
      <c r="H178">
        <f>(101325*EXP(-Ayarlar!$B$3/8434))/((Ayarlar!$B$2+273.15)*287.05)</f>
        <v/>
      </c>
      <c r="I178">
        <f>IF(D178&gt;0,PI()*((D178/1000)^2)/4,0)</f>
        <v/>
      </c>
      <c r="J178">
        <f>IF(AND(I178&gt;0,E178&gt;0),E178/I178/3600,0)</f>
        <v/>
      </c>
      <c r="K178">
        <f>IF(UPPER(A178)="DIRSEK",(H178*J178*J178/2)*IFERROR(INDEX(Sabitler!$B$2:$E$11,MATCH(B178,Sabitler!$A$2:$A$11,0),MATCH(C178,Sabitler!$B$1:$E$1,0)),0),0)</f>
        <v/>
      </c>
      <c r="L178">
        <f>IF(UPPER(A178)="KANAL",IF(AND(D178&gt;0,J178&gt;0),(((1000*((0.85*(0.11*(((0.03/D178)+(68/(66.4*D178*J178)))^0.25)))+0.0028))/D178)*(H178*J178*J178/2)*1.15)*1.18,0),0)</f>
        <v/>
      </c>
      <c r="M178">
        <f>IF(UPPER(A178)="JET-CAP",2.0*(1.2*J178*J178/2),0)</f>
        <v/>
      </c>
      <c r="P178">
        <f>IF(UPPER(A178)="DIRSEK",K178*MAX(F178,1),IF(UPPER(A178)="KANAL",L178*MAX(G178,0),IF(UPPER(A178)="JET-CAP",M178,IF(UPPER(A178)="EKIPMAN",O178,0))))</f>
        <v/>
      </c>
    </row>
    <row r="179">
      <c r="H179">
        <f>(101325*EXP(-Ayarlar!$B$3/8434))/((Ayarlar!$B$2+273.15)*287.05)</f>
        <v/>
      </c>
      <c r="I179">
        <f>IF(D179&gt;0,PI()*((D179/1000)^2)/4,0)</f>
        <v/>
      </c>
      <c r="J179">
        <f>IF(AND(I179&gt;0,E179&gt;0),E179/I179/3600,0)</f>
        <v/>
      </c>
      <c r="K179">
        <f>IF(UPPER(A179)="DIRSEK",(H179*J179*J179/2)*IFERROR(INDEX(Sabitler!$B$2:$E$11,MATCH(B179,Sabitler!$A$2:$A$11,0),MATCH(C179,Sabitler!$B$1:$E$1,0)),0),0)</f>
        <v/>
      </c>
      <c r="L179">
        <f>IF(UPPER(A179)="KANAL",IF(AND(D179&gt;0,J179&gt;0),(((1000*((0.85*(0.11*(((0.03/D179)+(68/(66.4*D179*J179)))^0.25)))+0.0028))/D179)*(H179*J179*J179/2)*1.15)*1.18,0),0)</f>
        <v/>
      </c>
      <c r="M179">
        <f>IF(UPPER(A179)="JET-CAP",2.0*(1.2*J179*J179/2),0)</f>
        <v/>
      </c>
      <c r="P179">
        <f>IF(UPPER(A179)="DIRSEK",K179*MAX(F179,1),IF(UPPER(A179)="KANAL",L179*MAX(G179,0),IF(UPPER(A179)="JET-CAP",M179,IF(UPPER(A179)="EKIPMAN",O179,0))))</f>
        <v/>
      </c>
    </row>
    <row r="180">
      <c r="H180">
        <f>(101325*EXP(-Ayarlar!$B$3/8434))/((Ayarlar!$B$2+273.15)*287.05)</f>
        <v/>
      </c>
      <c r="I180">
        <f>IF(D180&gt;0,PI()*((D180/1000)^2)/4,0)</f>
        <v/>
      </c>
      <c r="J180">
        <f>IF(AND(I180&gt;0,E180&gt;0),E180/I180/3600,0)</f>
        <v/>
      </c>
      <c r="K180">
        <f>IF(UPPER(A180)="DIRSEK",(H180*J180*J180/2)*IFERROR(INDEX(Sabitler!$B$2:$E$11,MATCH(B180,Sabitler!$A$2:$A$11,0),MATCH(C180,Sabitler!$B$1:$E$1,0)),0),0)</f>
        <v/>
      </c>
      <c r="L180">
        <f>IF(UPPER(A180)="KANAL",IF(AND(D180&gt;0,J180&gt;0),(((1000*((0.85*(0.11*(((0.03/D180)+(68/(66.4*D180*J180)))^0.25)))+0.0028))/D180)*(H180*J180*J180/2)*1.15)*1.18,0),0)</f>
        <v/>
      </c>
      <c r="M180">
        <f>IF(UPPER(A180)="JET-CAP",2.0*(1.2*J180*J180/2),0)</f>
        <v/>
      </c>
      <c r="P180">
        <f>IF(UPPER(A180)="DIRSEK",K180*MAX(F180,1),IF(UPPER(A180)="KANAL",L180*MAX(G180,0),IF(UPPER(A180)="JET-CAP",M180,IF(UPPER(A180)="EKIPMAN",O180,0))))</f>
        <v/>
      </c>
    </row>
    <row r="181">
      <c r="H181">
        <f>(101325*EXP(-Ayarlar!$B$3/8434))/((Ayarlar!$B$2+273.15)*287.05)</f>
        <v/>
      </c>
      <c r="I181">
        <f>IF(D181&gt;0,PI()*((D181/1000)^2)/4,0)</f>
        <v/>
      </c>
      <c r="J181">
        <f>IF(AND(I181&gt;0,E181&gt;0),E181/I181/3600,0)</f>
        <v/>
      </c>
      <c r="K181">
        <f>IF(UPPER(A181)="DIRSEK",(H181*J181*J181/2)*IFERROR(INDEX(Sabitler!$B$2:$E$11,MATCH(B181,Sabitler!$A$2:$A$11,0),MATCH(C181,Sabitler!$B$1:$E$1,0)),0),0)</f>
        <v/>
      </c>
      <c r="L181">
        <f>IF(UPPER(A181)="KANAL",IF(AND(D181&gt;0,J181&gt;0),(((1000*((0.85*(0.11*(((0.03/D181)+(68/(66.4*D181*J181)))^0.25)))+0.0028))/D181)*(H181*J181*J181/2)*1.15)*1.18,0),0)</f>
        <v/>
      </c>
      <c r="M181">
        <f>IF(UPPER(A181)="JET-CAP",2.0*(1.2*J181*J181/2),0)</f>
        <v/>
      </c>
      <c r="P181">
        <f>IF(UPPER(A181)="DIRSEK",K181*MAX(F181,1),IF(UPPER(A181)="KANAL",L181*MAX(G181,0),IF(UPPER(A181)="JET-CAP",M181,IF(UPPER(A181)="EKIPMAN",O181,0))))</f>
        <v/>
      </c>
    </row>
    <row r="182">
      <c r="H182">
        <f>(101325*EXP(-Ayarlar!$B$3/8434))/((Ayarlar!$B$2+273.15)*287.05)</f>
        <v/>
      </c>
      <c r="I182">
        <f>IF(D182&gt;0,PI()*((D182/1000)^2)/4,0)</f>
        <v/>
      </c>
      <c r="J182">
        <f>IF(AND(I182&gt;0,E182&gt;0),E182/I182/3600,0)</f>
        <v/>
      </c>
      <c r="K182">
        <f>IF(UPPER(A182)="DIRSEK",(H182*J182*J182/2)*IFERROR(INDEX(Sabitler!$B$2:$E$11,MATCH(B182,Sabitler!$A$2:$A$11,0),MATCH(C182,Sabitler!$B$1:$E$1,0)),0),0)</f>
        <v/>
      </c>
      <c r="L182">
        <f>IF(UPPER(A182)="KANAL",IF(AND(D182&gt;0,J182&gt;0),(((1000*((0.85*(0.11*(((0.03/D182)+(68/(66.4*D182*J182)))^0.25)))+0.0028))/D182)*(H182*J182*J182/2)*1.15)*1.18,0),0)</f>
        <v/>
      </c>
      <c r="M182">
        <f>IF(UPPER(A182)="JET-CAP",2.0*(1.2*J182*J182/2),0)</f>
        <v/>
      </c>
      <c r="P182">
        <f>IF(UPPER(A182)="DIRSEK",K182*MAX(F182,1),IF(UPPER(A182)="KANAL",L182*MAX(G182,0),IF(UPPER(A182)="JET-CAP",M182,IF(UPPER(A182)="EKIPMAN",O182,0))))</f>
        <v/>
      </c>
    </row>
    <row r="183">
      <c r="H183">
        <f>(101325*EXP(-Ayarlar!$B$3/8434))/((Ayarlar!$B$2+273.15)*287.05)</f>
        <v/>
      </c>
      <c r="I183">
        <f>IF(D183&gt;0,PI()*((D183/1000)^2)/4,0)</f>
        <v/>
      </c>
      <c r="J183">
        <f>IF(AND(I183&gt;0,E183&gt;0),E183/I183/3600,0)</f>
        <v/>
      </c>
      <c r="K183">
        <f>IF(UPPER(A183)="DIRSEK",(H183*J183*J183/2)*IFERROR(INDEX(Sabitler!$B$2:$E$11,MATCH(B183,Sabitler!$A$2:$A$11,0),MATCH(C183,Sabitler!$B$1:$E$1,0)),0),0)</f>
        <v/>
      </c>
      <c r="L183">
        <f>IF(UPPER(A183)="KANAL",IF(AND(D183&gt;0,J183&gt;0),(((1000*((0.85*(0.11*(((0.03/D183)+(68/(66.4*D183*J183)))^0.25)))+0.0028))/D183)*(H183*J183*J183/2)*1.15)*1.18,0),0)</f>
        <v/>
      </c>
      <c r="M183">
        <f>IF(UPPER(A183)="JET-CAP",2.0*(1.2*J183*J183/2),0)</f>
        <v/>
      </c>
      <c r="P183">
        <f>IF(UPPER(A183)="DIRSEK",K183*MAX(F183,1),IF(UPPER(A183)="KANAL",L183*MAX(G183,0),IF(UPPER(A183)="JET-CAP",M183,IF(UPPER(A183)="EKIPMAN",O183,0))))</f>
        <v/>
      </c>
    </row>
    <row r="184">
      <c r="H184">
        <f>(101325*EXP(-Ayarlar!$B$3/8434))/((Ayarlar!$B$2+273.15)*287.05)</f>
        <v/>
      </c>
      <c r="I184">
        <f>IF(D184&gt;0,PI()*((D184/1000)^2)/4,0)</f>
        <v/>
      </c>
      <c r="J184">
        <f>IF(AND(I184&gt;0,E184&gt;0),E184/I184/3600,0)</f>
        <v/>
      </c>
      <c r="K184">
        <f>IF(UPPER(A184)="DIRSEK",(H184*J184*J184/2)*IFERROR(INDEX(Sabitler!$B$2:$E$11,MATCH(B184,Sabitler!$A$2:$A$11,0),MATCH(C184,Sabitler!$B$1:$E$1,0)),0),0)</f>
        <v/>
      </c>
      <c r="L184">
        <f>IF(UPPER(A184)="KANAL",IF(AND(D184&gt;0,J184&gt;0),(((1000*((0.85*(0.11*(((0.03/D184)+(68/(66.4*D184*J184)))^0.25)))+0.0028))/D184)*(H184*J184*J184/2)*1.15)*1.18,0),0)</f>
        <v/>
      </c>
      <c r="M184">
        <f>IF(UPPER(A184)="JET-CAP",2.0*(1.2*J184*J184/2),0)</f>
        <v/>
      </c>
      <c r="P184">
        <f>IF(UPPER(A184)="DIRSEK",K184*MAX(F184,1),IF(UPPER(A184)="KANAL",L184*MAX(G184,0),IF(UPPER(A184)="JET-CAP",M184,IF(UPPER(A184)="EKIPMAN",O184,0))))</f>
        <v/>
      </c>
    </row>
    <row r="185">
      <c r="H185">
        <f>(101325*EXP(-Ayarlar!$B$3/8434))/((Ayarlar!$B$2+273.15)*287.05)</f>
        <v/>
      </c>
      <c r="I185">
        <f>IF(D185&gt;0,PI()*((D185/1000)^2)/4,0)</f>
        <v/>
      </c>
      <c r="J185">
        <f>IF(AND(I185&gt;0,E185&gt;0),E185/I185/3600,0)</f>
        <v/>
      </c>
      <c r="K185">
        <f>IF(UPPER(A185)="DIRSEK",(H185*J185*J185/2)*IFERROR(INDEX(Sabitler!$B$2:$E$11,MATCH(B185,Sabitler!$A$2:$A$11,0),MATCH(C185,Sabitler!$B$1:$E$1,0)),0),0)</f>
        <v/>
      </c>
      <c r="L185">
        <f>IF(UPPER(A185)="KANAL",IF(AND(D185&gt;0,J185&gt;0),(((1000*((0.85*(0.11*(((0.03/D185)+(68/(66.4*D185*J185)))^0.25)))+0.0028))/D185)*(H185*J185*J185/2)*1.15)*1.18,0),0)</f>
        <v/>
      </c>
      <c r="M185">
        <f>IF(UPPER(A185)="JET-CAP",2.0*(1.2*J185*J185/2),0)</f>
        <v/>
      </c>
      <c r="P185">
        <f>IF(UPPER(A185)="DIRSEK",K185*MAX(F185,1),IF(UPPER(A185)="KANAL",L185*MAX(G185,0),IF(UPPER(A185)="JET-CAP",M185,IF(UPPER(A185)="EKIPMAN",O185,0))))</f>
        <v/>
      </c>
    </row>
    <row r="186">
      <c r="H186">
        <f>(101325*EXP(-Ayarlar!$B$3/8434))/((Ayarlar!$B$2+273.15)*287.05)</f>
        <v/>
      </c>
      <c r="I186">
        <f>IF(D186&gt;0,PI()*((D186/1000)^2)/4,0)</f>
        <v/>
      </c>
      <c r="J186">
        <f>IF(AND(I186&gt;0,E186&gt;0),E186/I186/3600,0)</f>
        <v/>
      </c>
      <c r="K186">
        <f>IF(UPPER(A186)="DIRSEK",(H186*J186*J186/2)*IFERROR(INDEX(Sabitler!$B$2:$E$11,MATCH(B186,Sabitler!$A$2:$A$11,0),MATCH(C186,Sabitler!$B$1:$E$1,0)),0),0)</f>
        <v/>
      </c>
      <c r="L186">
        <f>IF(UPPER(A186)="KANAL",IF(AND(D186&gt;0,J186&gt;0),(((1000*((0.85*(0.11*(((0.03/D186)+(68/(66.4*D186*J186)))^0.25)))+0.0028))/D186)*(H186*J186*J186/2)*1.15)*1.18,0),0)</f>
        <v/>
      </c>
      <c r="M186">
        <f>IF(UPPER(A186)="JET-CAP",2.0*(1.2*J186*J186/2),0)</f>
        <v/>
      </c>
      <c r="P186">
        <f>IF(UPPER(A186)="DIRSEK",K186*MAX(F186,1),IF(UPPER(A186)="KANAL",L186*MAX(G186,0),IF(UPPER(A186)="JET-CAP",M186,IF(UPPER(A186)="EKIPMAN",O186,0))))</f>
        <v/>
      </c>
    </row>
    <row r="187">
      <c r="H187">
        <f>(101325*EXP(-Ayarlar!$B$3/8434))/((Ayarlar!$B$2+273.15)*287.05)</f>
        <v/>
      </c>
      <c r="I187">
        <f>IF(D187&gt;0,PI()*((D187/1000)^2)/4,0)</f>
        <v/>
      </c>
      <c r="J187">
        <f>IF(AND(I187&gt;0,E187&gt;0),E187/I187/3600,0)</f>
        <v/>
      </c>
      <c r="K187">
        <f>IF(UPPER(A187)="DIRSEK",(H187*J187*J187/2)*IFERROR(INDEX(Sabitler!$B$2:$E$11,MATCH(B187,Sabitler!$A$2:$A$11,0),MATCH(C187,Sabitler!$B$1:$E$1,0)),0),0)</f>
        <v/>
      </c>
      <c r="L187">
        <f>IF(UPPER(A187)="KANAL",IF(AND(D187&gt;0,J187&gt;0),(((1000*((0.85*(0.11*(((0.03/D187)+(68/(66.4*D187*J187)))^0.25)))+0.0028))/D187)*(H187*J187*J187/2)*1.15)*1.18,0),0)</f>
        <v/>
      </c>
      <c r="M187">
        <f>IF(UPPER(A187)="JET-CAP",2.0*(1.2*J187*J187/2),0)</f>
        <v/>
      </c>
      <c r="P187">
        <f>IF(UPPER(A187)="DIRSEK",K187*MAX(F187,1),IF(UPPER(A187)="KANAL",L187*MAX(G187,0),IF(UPPER(A187)="JET-CAP",M187,IF(UPPER(A187)="EKIPMAN",O187,0))))</f>
        <v/>
      </c>
    </row>
    <row r="188">
      <c r="H188">
        <f>(101325*EXP(-Ayarlar!$B$3/8434))/((Ayarlar!$B$2+273.15)*287.05)</f>
        <v/>
      </c>
      <c r="I188">
        <f>IF(D188&gt;0,PI()*((D188/1000)^2)/4,0)</f>
        <v/>
      </c>
      <c r="J188">
        <f>IF(AND(I188&gt;0,E188&gt;0),E188/I188/3600,0)</f>
        <v/>
      </c>
      <c r="K188">
        <f>IF(UPPER(A188)="DIRSEK",(H188*J188*J188/2)*IFERROR(INDEX(Sabitler!$B$2:$E$11,MATCH(B188,Sabitler!$A$2:$A$11,0),MATCH(C188,Sabitler!$B$1:$E$1,0)),0),0)</f>
        <v/>
      </c>
      <c r="L188">
        <f>IF(UPPER(A188)="KANAL",IF(AND(D188&gt;0,J188&gt;0),(((1000*((0.85*(0.11*(((0.03/D188)+(68/(66.4*D188*J188)))^0.25)))+0.0028))/D188)*(H188*J188*J188/2)*1.15)*1.18,0),0)</f>
        <v/>
      </c>
      <c r="M188">
        <f>IF(UPPER(A188)="JET-CAP",2.0*(1.2*J188*J188/2),0)</f>
        <v/>
      </c>
      <c r="P188">
        <f>IF(UPPER(A188)="DIRSEK",K188*MAX(F188,1),IF(UPPER(A188)="KANAL",L188*MAX(G188,0),IF(UPPER(A188)="JET-CAP",M188,IF(UPPER(A188)="EKIPMAN",O188,0))))</f>
        <v/>
      </c>
    </row>
    <row r="189">
      <c r="H189">
        <f>(101325*EXP(-Ayarlar!$B$3/8434))/((Ayarlar!$B$2+273.15)*287.05)</f>
        <v/>
      </c>
      <c r="I189">
        <f>IF(D189&gt;0,PI()*((D189/1000)^2)/4,0)</f>
        <v/>
      </c>
      <c r="J189">
        <f>IF(AND(I189&gt;0,E189&gt;0),E189/I189/3600,0)</f>
        <v/>
      </c>
      <c r="K189">
        <f>IF(UPPER(A189)="DIRSEK",(H189*J189*J189/2)*IFERROR(INDEX(Sabitler!$B$2:$E$11,MATCH(B189,Sabitler!$A$2:$A$11,0),MATCH(C189,Sabitler!$B$1:$E$1,0)),0),0)</f>
        <v/>
      </c>
      <c r="L189">
        <f>IF(UPPER(A189)="KANAL",IF(AND(D189&gt;0,J189&gt;0),(((1000*((0.85*(0.11*(((0.03/D189)+(68/(66.4*D189*J189)))^0.25)))+0.0028))/D189)*(H189*J189*J189/2)*1.15)*1.18,0),0)</f>
        <v/>
      </c>
      <c r="M189">
        <f>IF(UPPER(A189)="JET-CAP",2.0*(1.2*J189*J189/2),0)</f>
        <v/>
      </c>
      <c r="P189">
        <f>IF(UPPER(A189)="DIRSEK",K189*MAX(F189,1),IF(UPPER(A189)="KANAL",L189*MAX(G189,0),IF(UPPER(A189)="JET-CAP",M189,IF(UPPER(A189)="EKIPMAN",O189,0))))</f>
        <v/>
      </c>
    </row>
    <row r="190">
      <c r="H190">
        <f>(101325*EXP(-Ayarlar!$B$3/8434))/((Ayarlar!$B$2+273.15)*287.05)</f>
        <v/>
      </c>
      <c r="I190">
        <f>IF(D190&gt;0,PI()*((D190/1000)^2)/4,0)</f>
        <v/>
      </c>
      <c r="J190">
        <f>IF(AND(I190&gt;0,E190&gt;0),E190/I190/3600,0)</f>
        <v/>
      </c>
      <c r="K190">
        <f>IF(UPPER(A190)="DIRSEK",(H190*J190*J190/2)*IFERROR(INDEX(Sabitler!$B$2:$E$11,MATCH(B190,Sabitler!$A$2:$A$11,0),MATCH(C190,Sabitler!$B$1:$E$1,0)),0),0)</f>
        <v/>
      </c>
      <c r="L190">
        <f>IF(UPPER(A190)="KANAL",IF(AND(D190&gt;0,J190&gt;0),(((1000*((0.85*(0.11*(((0.03/D190)+(68/(66.4*D190*J190)))^0.25)))+0.0028))/D190)*(H190*J190*J190/2)*1.15)*1.18,0),0)</f>
        <v/>
      </c>
      <c r="M190">
        <f>IF(UPPER(A190)="JET-CAP",2.0*(1.2*J190*J190/2),0)</f>
        <v/>
      </c>
      <c r="P190">
        <f>IF(UPPER(A190)="DIRSEK",K190*MAX(F190,1),IF(UPPER(A190)="KANAL",L190*MAX(G190,0),IF(UPPER(A190)="JET-CAP",M190,IF(UPPER(A190)="EKIPMAN",O190,0))))</f>
        <v/>
      </c>
    </row>
    <row r="191">
      <c r="H191">
        <f>(101325*EXP(-Ayarlar!$B$3/8434))/((Ayarlar!$B$2+273.15)*287.05)</f>
        <v/>
      </c>
      <c r="I191">
        <f>IF(D191&gt;0,PI()*((D191/1000)^2)/4,0)</f>
        <v/>
      </c>
      <c r="J191">
        <f>IF(AND(I191&gt;0,E191&gt;0),E191/I191/3600,0)</f>
        <v/>
      </c>
      <c r="K191">
        <f>IF(UPPER(A191)="DIRSEK",(H191*J191*J191/2)*IFERROR(INDEX(Sabitler!$B$2:$E$11,MATCH(B191,Sabitler!$A$2:$A$11,0),MATCH(C191,Sabitler!$B$1:$E$1,0)),0),0)</f>
        <v/>
      </c>
      <c r="L191">
        <f>IF(UPPER(A191)="KANAL",IF(AND(D191&gt;0,J191&gt;0),(((1000*((0.85*(0.11*(((0.03/D191)+(68/(66.4*D191*J191)))^0.25)))+0.0028))/D191)*(H191*J191*J191/2)*1.15)*1.18,0),0)</f>
        <v/>
      </c>
      <c r="M191">
        <f>IF(UPPER(A191)="JET-CAP",2.0*(1.2*J191*J191/2),0)</f>
        <v/>
      </c>
      <c r="P191">
        <f>IF(UPPER(A191)="DIRSEK",K191*MAX(F191,1),IF(UPPER(A191)="KANAL",L191*MAX(G191,0),IF(UPPER(A191)="JET-CAP",M191,IF(UPPER(A191)="EKIPMAN",O191,0))))</f>
        <v/>
      </c>
    </row>
    <row r="192">
      <c r="H192">
        <f>(101325*EXP(-Ayarlar!$B$3/8434))/((Ayarlar!$B$2+273.15)*287.05)</f>
        <v/>
      </c>
      <c r="I192">
        <f>IF(D192&gt;0,PI()*((D192/1000)^2)/4,0)</f>
        <v/>
      </c>
      <c r="J192">
        <f>IF(AND(I192&gt;0,E192&gt;0),E192/I192/3600,0)</f>
        <v/>
      </c>
      <c r="K192">
        <f>IF(UPPER(A192)="DIRSEK",(H192*J192*J192/2)*IFERROR(INDEX(Sabitler!$B$2:$E$11,MATCH(B192,Sabitler!$A$2:$A$11,0),MATCH(C192,Sabitler!$B$1:$E$1,0)),0),0)</f>
        <v/>
      </c>
      <c r="L192">
        <f>IF(UPPER(A192)="KANAL",IF(AND(D192&gt;0,J192&gt;0),(((1000*((0.85*(0.11*(((0.03/D192)+(68/(66.4*D192*J192)))^0.25)))+0.0028))/D192)*(H192*J192*J192/2)*1.15)*1.18,0),0)</f>
        <v/>
      </c>
      <c r="M192">
        <f>IF(UPPER(A192)="JET-CAP",2.0*(1.2*J192*J192/2),0)</f>
        <v/>
      </c>
      <c r="P192">
        <f>IF(UPPER(A192)="DIRSEK",K192*MAX(F192,1),IF(UPPER(A192)="KANAL",L192*MAX(G192,0),IF(UPPER(A192)="JET-CAP",M192,IF(UPPER(A192)="EKIPMAN",O192,0))))</f>
        <v/>
      </c>
    </row>
    <row r="193">
      <c r="H193">
        <f>(101325*EXP(-Ayarlar!$B$3/8434))/((Ayarlar!$B$2+273.15)*287.05)</f>
        <v/>
      </c>
      <c r="I193">
        <f>IF(D193&gt;0,PI()*((D193/1000)^2)/4,0)</f>
        <v/>
      </c>
      <c r="J193">
        <f>IF(AND(I193&gt;0,E193&gt;0),E193/I193/3600,0)</f>
        <v/>
      </c>
      <c r="K193">
        <f>IF(UPPER(A193)="DIRSEK",(H193*J193*J193/2)*IFERROR(INDEX(Sabitler!$B$2:$E$11,MATCH(B193,Sabitler!$A$2:$A$11,0),MATCH(C193,Sabitler!$B$1:$E$1,0)),0),0)</f>
        <v/>
      </c>
      <c r="L193">
        <f>IF(UPPER(A193)="KANAL",IF(AND(D193&gt;0,J193&gt;0),(((1000*((0.85*(0.11*(((0.03/D193)+(68/(66.4*D193*J193)))^0.25)))+0.0028))/D193)*(H193*J193*J193/2)*1.15)*1.18,0),0)</f>
        <v/>
      </c>
      <c r="M193">
        <f>IF(UPPER(A193)="JET-CAP",2.0*(1.2*J193*J193/2),0)</f>
        <v/>
      </c>
      <c r="P193">
        <f>IF(UPPER(A193)="DIRSEK",K193*MAX(F193,1),IF(UPPER(A193)="KANAL",L193*MAX(G193,0),IF(UPPER(A193)="JET-CAP",M193,IF(UPPER(A193)="EKIPMAN",O193,0))))</f>
        <v/>
      </c>
    </row>
    <row r="194">
      <c r="H194">
        <f>(101325*EXP(-Ayarlar!$B$3/8434))/((Ayarlar!$B$2+273.15)*287.05)</f>
        <v/>
      </c>
      <c r="I194">
        <f>IF(D194&gt;0,PI()*((D194/1000)^2)/4,0)</f>
        <v/>
      </c>
      <c r="J194">
        <f>IF(AND(I194&gt;0,E194&gt;0),E194/I194/3600,0)</f>
        <v/>
      </c>
      <c r="K194">
        <f>IF(UPPER(A194)="DIRSEK",(H194*J194*J194/2)*IFERROR(INDEX(Sabitler!$B$2:$E$11,MATCH(B194,Sabitler!$A$2:$A$11,0),MATCH(C194,Sabitler!$B$1:$E$1,0)),0),0)</f>
        <v/>
      </c>
      <c r="L194">
        <f>IF(UPPER(A194)="KANAL",IF(AND(D194&gt;0,J194&gt;0),(((1000*((0.85*(0.11*(((0.03/D194)+(68/(66.4*D194*J194)))^0.25)))+0.0028))/D194)*(H194*J194*J194/2)*1.15)*1.18,0),0)</f>
        <v/>
      </c>
      <c r="M194">
        <f>IF(UPPER(A194)="JET-CAP",2.0*(1.2*J194*J194/2),0)</f>
        <v/>
      </c>
      <c r="P194">
        <f>IF(UPPER(A194)="DIRSEK",K194*MAX(F194,1),IF(UPPER(A194)="KANAL",L194*MAX(G194,0),IF(UPPER(A194)="JET-CAP",M194,IF(UPPER(A194)="EKIPMAN",O194,0))))</f>
        <v/>
      </c>
    </row>
    <row r="195">
      <c r="H195">
        <f>(101325*EXP(-Ayarlar!$B$3/8434))/((Ayarlar!$B$2+273.15)*287.05)</f>
        <v/>
      </c>
      <c r="I195">
        <f>IF(D195&gt;0,PI()*((D195/1000)^2)/4,0)</f>
        <v/>
      </c>
      <c r="J195">
        <f>IF(AND(I195&gt;0,E195&gt;0),E195/I195/3600,0)</f>
        <v/>
      </c>
      <c r="K195">
        <f>IF(UPPER(A195)="DIRSEK",(H195*J195*J195/2)*IFERROR(INDEX(Sabitler!$B$2:$E$11,MATCH(B195,Sabitler!$A$2:$A$11,0),MATCH(C195,Sabitler!$B$1:$E$1,0)),0),0)</f>
        <v/>
      </c>
      <c r="L195">
        <f>IF(UPPER(A195)="KANAL",IF(AND(D195&gt;0,J195&gt;0),(((1000*((0.85*(0.11*(((0.03/D195)+(68/(66.4*D195*J195)))^0.25)))+0.0028))/D195)*(H195*J195*J195/2)*1.15)*1.18,0),0)</f>
        <v/>
      </c>
      <c r="M195">
        <f>IF(UPPER(A195)="JET-CAP",2.0*(1.2*J195*J195/2),0)</f>
        <v/>
      </c>
      <c r="P195">
        <f>IF(UPPER(A195)="DIRSEK",K195*MAX(F195,1),IF(UPPER(A195)="KANAL",L195*MAX(G195,0),IF(UPPER(A195)="JET-CAP",M195,IF(UPPER(A195)="EKIPMAN",O195,0))))</f>
        <v/>
      </c>
    </row>
    <row r="196">
      <c r="H196">
        <f>(101325*EXP(-Ayarlar!$B$3/8434))/((Ayarlar!$B$2+273.15)*287.05)</f>
        <v/>
      </c>
      <c r="I196">
        <f>IF(D196&gt;0,PI()*((D196/1000)^2)/4,0)</f>
        <v/>
      </c>
      <c r="J196">
        <f>IF(AND(I196&gt;0,E196&gt;0),E196/I196/3600,0)</f>
        <v/>
      </c>
      <c r="K196">
        <f>IF(UPPER(A196)="DIRSEK",(H196*J196*J196/2)*IFERROR(INDEX(Sabitler!$B$2:$E$11,MATCH(B196,Sabitler!$A$2:$A$11,0),MATCH(C196,Sabitler!$B$1:$E$1,0)),0),0)</f>
        <v/>
      </c>
      <c r="L196">
        <f>IF(UPPER(A196)="KANAL",IF(AND(D196&gt;0,J196&gt;0),(((1000*((0.85*(0.11*(((0.03/D196)+(68/(66.4*D196*J196)))^0.25)))+0.0028))/D196)*(H196*J196*J196/2)*1.15)*1.18,0),0)</f>
        <v/>
      </c>
      <c r="M196">
        <f>IF(UPPER(A196)="JET-CAP",2.0*(1.2*J196*J196/2),0)</f>
        <v/>
      </c>
      <c r="P196">
        <f>IF(UPPER(A196)="DIRSEK",K196*MAX(F196,1),IF(UPPER(A196)="KANAL",L196*MAX(G196,0),IF(UPPER(A196)="JET-CAP",M196,IF(UPPER(A196)="EKIPMAN",O196,0))))</f>
        <v/>
      </c>
    </row>
    <row r="197">
      <c r="H197">
        <f>(101325*EXP(-Ayarlar!$B$3/8434))/((Ayarlar!$B$2+273.15)*287.05)</f>
        <v/>
      </c>
      <c r="I197">
        <f>IF(D197&gt;0,PI()*((D197/1000)^2)/4,0)</f>
        <v/>
      </c>
      <c r="J197">
        <f>IF(AND(I197&gt;0,E197&gt;0),E197/I197/3600,0)</f>
        <v/>
      </c>
      <c r="K197">
        <f>IF(UPPER(A197)="DIRSEK",(H197*J197*J197/2)*IFERROR(INDEX(Sabitler!$B$2:$E$11,MATCH(B197,Sabitler!$A$2:$A$11,0),MATCH(C197,Sabitler!$B$1:$E$1,0)),0),0)</f>
        <v/>
      </c>
      <c r="L197">
        <f>IF(UPPER(A197)="KANAL",IF(AND(D197&gt;0,J197&gt;0),(((1000*((0.85*(0.11*(((0.03/D197)+(68/(66.4*D197*J197)))^0.25)))+0.0028))/D197)*(H197*J197*J197/2)*1.15)*1.18,0),0)</f>
        <v/>
      </c>
      <c r="M197">
        <f>IF(UPPER(A197)="JET-CAP",2.0*(1.2*J197*J197/2),0)</f>
        <v/>
      </c>
      <c r="P197">
        <f>IF(UPPER(A197)="DIRSEK",K197*MAX(F197,1),IF(UPPER(A197)="KANAL",L197*MAX(G197,0),IF(UPPER(A197)="JET-CAP",M197,IF(UPPER(A197)="EKIPMAN",O197,0))))</f>
        <v/>
      </c>
    </row>
    <row r="198">
      <c r="H198">
        <f>(101325*EXP(-Ayarlar!$B$3/8434))/((Ayarlar!$B$2+273.15)*287.05)</f>
        <v/>
      </c>
      <c r="I198">
        <f>IF(D198&gt;0,PI()*((D198/1000)^2)/4,0)</f>
        <v/>
      </c>
      <c r="J198">
        <f>IF(AND(I198&gt;0,E198&gt;0),E198/I198/3600,0)</f>
        <v/>
      </c>
      <c r="K198">
        <f>IF(UPPER(A198)="DIRSEK",(H198*J198*J198/2)*IFERROR(INDEX(Sabitler!$B$2:$E$11,MATCH(B198,Sabitler!$A$2:$A$11,0),MATCH(C198,Sabitler!$B$1:$E$1,0)),0),0)</f>
        <v/>
      </c>
      <c r="L198">
        <f>IF(UPPER(A198)="KANAL",IF(AND(D198&gt;0,J198&gt;0),(((1000*((0.85*(0.11*(((0.03/D198)+(68/(66.4*D198*J198)))^0.25)))+0.0028))/D198)*(H198*J198*J198/2)*1.15)*1.18,0),0)</f>
        <v/>
      </c>
      <c r="M198">
        <f>IF(UPPER(A198)="JET-CAP",2.0*(1.2*J198*J198/2),0)</f>
        <v/>
      </c>
      <c r="P198">
        <f>IF(UPPER(A198)="DIRSEK",K198*MAX(F198,1),IF(UPPER(A198)="KANAL",L198*MAX(G198,0),IF(UPPER(A198)="JET-CAP",M198,IF(UPPER(A198)="EKIPMAN",O198,0))))</f>
        <v/>
      </c>
    </row>
    <row r="199">
      <c r="H199">
        <f>(101325*EXP(-Ayarlar!$B$3/8434))/((Ayarlar!$B$2+273.15)*287.05)</f>
        <v/>
      </c>
      <c r="I199">
        <f>IF(D199&gt;0,PI()*((D199/1000)^2)/4,0)</f>
        <v/>
      </c>
      <c r="J199">
        <f>IF(AND(I199&gt;0,E199&gt;0),E199/I199/3600,0)</f>
        <v/>
      </c>
      <c r="K199">
        <f>IF(UPPER(A199)="DIRSEK",(H199*J199*J199/2)*IFERROR(INDEX(Sabitler!$B$2:$E$11,MATCH(B199,Sabitler!$A$2:$A$11,0),MATCH(C199,Sabitler!$B$1:$E$1,0)),0),0)</f>
        <v/>
      </c>
      <c r="L199">
        <f>IF(UPPER(A199)="KANAL",IF(AND(D199&gt;0,J199&gt;0),(((1000*((0.85*(0.11*(((0.03/D199)+(68/(66.4*D199*J199)))^0.25)))+0.0028))/D199)*(H199*J199*J199/2)*1.15)*1.18,0),0)</f>
        <v/>
      </c>
      <c r="M199">
        <f>IF(UPPER(A199)="JET-CAP",2.0*(1.2*J199*J199/2),0)</f>
        <v/>
      </c>
      <c r="P199">
        <f>IF(UPPER(A199)="DIRSEK",K199*MAX(F199,1),IF(UPPER(A199)="KANAL",L199*MAX(G199,0),IF(UPPER(A199)="JET-CAP",M199,IF(UPPER(A199)="EKIPMAN",O199,0))))</f>
        <v/>
      </c>
    </row>
    <row r="200">
      <c r="H200">
        <f>(101325*EXP(-Ayarlar!$B$3/8434))/((Ayarlar!$B$2+273.15)*287.05)</f>
        <v/>
      </c>
      <c r="I200">
        <f>IF(D200&gt;0,PI()*((D200/1000)^2)/4,0)</f>
        <v/>
      </c>
      <c r="J200">
        <f>IF(AND(I200&gt;0,E200&gt;0),E200/I200/3600,0)</f>
        <v/>
      </c>
      <c r="K200">
        <f>IF(UPPER(A200)="DIRSEK",(H200*J200*J200/2)*IFERROR(INDEX(Sabitler!$B$2:$E$11,MATCH(B200,Sabitler!$A$2:$A$11,0),MATCH(C200,Sabitler!$B$1:$E$1,0)),0),0)</f>
        <v/>
      </c>
      <c r="L200">
        <f>IF(UPPER(A200)="KANAL",IF(AND(D200&gt;0,J200&gt;0),(((1000*((0.85*(0.11*(((0.03/D200)+(68/(66.4*D200*J200)))^0.25)))+0.0028))/D200)*(H200*J200*J200/2)*1.15)*1.18,0),0)</f>
        <v/>
      </c>
      <c r="M200">
        <f>IF(UPPER(A200)="JET-CAP",2.0*(1.2*J200*J200/2),0)</f>
        <v/>
      </c>
      <c r="P200">
        <f>IF(UPPER(A200)="DIRSEK",K200*MAX(F200,1),IF(UPPER(A200)="KANAL",L200*MAX(G200,0),IF(UPPER(A200)="JET-CAP",M200,IF(UPPER(A200)="EKIPMAN",O200,0))))</f>
        <v/>
      </c>
    </row>
    <row r="201">
      <c r="H201">
        <f>(101325*EXP(-Ayarlar!$B$3/8434))/((Ayarlar!$B$2+273.15)*287.05)</f>
        <v/>
      </c>
      <c r="I201">
        <f>IF(D201&gt;0,PI()*((D201/1000)^2)/4,0)</f>
        <v/>
      </c>
      <c r="J201">
        <f>IF(AND(I201&gt;0,E201&gt;0),E201/I201/3600,0)</f>
        <v/>
      </c>
      <c r="K201">
        <f>IF(UPPER(A201)="DIRSEK",(H201*J201*J201/2)*IFERROR(INDEX(Sabitler!$B$2:$E$11,MATCH(B201,Sabitler!$A$2:$A$11,0),MATCH(C201,Sabitler!$B$1:$E$1,0)),0),0)</f>
        <v/>
      </c>
      <c r="L201">
        <f>IF(UPPER(A201)="KANAL",IF(AND(D201&gt;0,J201&gt;0),(((1000*((0.85*(0.11*(((0.03/D201)+(68/(66.4*D201*J201)))^0.25)))+0.0028))/D201)*(H201*J201*J201/2)*1.15)*1.18,0),0)</f>
        <v/>
      </c>
      <c r="M201">
        <f>IF(UPPER(A201)="JET-CAP",2.0*(1.2*J201*J201/2),0)</f>
        <v/>
      </c>
      <c r="P201">
        <f>IF(UPPER(A201)="DIRSEK",K201*MAX(F201,1),IF(UPPER(A201)="KANAL",L201*MAX(G201,0),IF(UPPER(A201)="JET-CAP",M201,IF(UPPER(A201)="EKIPMAN",O201,0))))</f>
        <v/>
      </c>
    </row>
    <row r="203">
      <c r="O203" s="2" t="inlineStr">
        <is>
          <t>Toplam Basinc Kaybi</t>
        </is>
      </c>
      <c r="P203" s="2">
        <f>SUM(P2:P201)</f>
        <v/>
      </c>
    </row>
  </sheetData>
  <dataValidations count="2">
    <dataValidation sqref="A2:A201" showDropDown="0" showInputMessage="0" showErrorMessage="0" allowBlank="1" errorTitle="Gecersiz Tip" error="Yalnizca Kanal veya Dirsek secilebilir." promptTitle="Tip Secimi" prompt="Kanal veya Dirsek secin." type="list">
      <formula1>=TipSecenekleri</formula1>
    </dataValidation>
    <dataValidation sqref="C2:C201" showDropDown="0" showInputMessage="0" showErrorMessage="0" allowBlank="1" errorTitle="Gecersiz r/D" error="Yalnizca 0,75 / 1 / 1,5 / 2 secilebilir." promptTitle="r/D Secimi" prompt="0,75 / 1 / 1,5 / 2 degerlerinden birini secin." type="list">
      <formula1>=rDSecenekleri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</t>
        </is>
      </c>
      <c r="B1" s="1" t="n">
        <v>0.75</v>
      </c>
      <c r="C1" s="1" t="n">
        <v>1</v>
      </c>
      <c r="D1" s="1" t="n">
        <v>1.5</v>
      </c>
      <c r="E1" s="1" t="n">
        <v>2</v>
      </c>
      <c r="G1" t="inlineStr">
        <is>
          <t>Tip Secenekleri</t>
        </is>
      </c>
      <c r="H1" t="inlineStr">
        <is>
          <t>rD Secenekleri</t>
        </is>
      </c>
    </row>
    <row r="2">
      <c r="A2" t="n">
        <v>20</v>
      </c>
      <c r="B2" t="n">
        <v>0.1674</v>
      </c>
      <c r="C2" t="n">
        <v>0.1302</v>
      </c>
      <c r="D2" t="n">
        <v>0.1054</v>
      </c>
      <c r="E2" t="n">
        <v>0.1023</v>
      </c>
      <c r="G2" t="inlineStr">
        <is>
          <t>Kanal</t>
        </is>
      </c>
      <c r="H2" t="inlineStr">
        <is>
          <t>0,75</t>
        </is>
      </c>
    </row>
    <row r="3">
      <c r="A3" t="n">
        <v>30</v>
      </c>
      <c r="B3" t="n">
        <v>0.243</v>
      </c>
      <c r="C3" t="n">
        <v>0.189</v>
      </c>
      <c r="D3" t="n">
        <v>0.153</v>
      </c>
      <c r="E3" t="n">
        <v>0.1485</v>
      </c>
      <c r="G3" t="inlineStr">
        <is>
          <t>Dirsek</t>
        </is>
      </c>
      <c r="H3" t="inlineStr">
        <is>
          <t>1</t>
        </is>
      </c>
    </row>
    <row r="4">
      <c r="A4" t="n">
        <v>45</v>
      </c>
      <c r="B4" t="n">
        <v>0.324</v>
      </c>
      <c r="C4" t="n">
        <v>0.252</v>
      </c>
      <c r="D4" t="n">
        <v>0.204</v>
      </c>
      <c r="E4" t="n">
        <v>0.198</v>
      </c>
      <c r="G4" t="inlineStr">
        <is>
          <t>Jet-Cap</t>
        </is>
      </c>
      <c r="H4" t="inlineStr">
        <is>
          <t>1,5</t>
        </is>
      </c>
    </row>
    <row r="5">
      <c r="A5" t="n">
        <v>60</v>
      </c>
      <c r="B5" t="n">
        <v>0.4212</v>
      </c>
      <c r="C5" t="n">
        <v>0.3276</v>
      </c>
      <c r="D5" t="n">
        <v>0.2652</v>
      </c>
      <c r="E5" t="n">
        <v>0.2574</v>
      </c>
      <c r="G5" t="inlineStr">
        <is>
          <t>Ekipman</t>
        </is>
      </c>
      <c r="H5" t="inlineStr">
        <is>
          <t>2</t>
        </is>
      </c>
    </row>
    <row r="6">
      <c r="A6" t="n">
        <v>75</v>
      </c>
      <c r="B6" t="n">
        <v>0.486</v>
      </c>
      <c r="C6" t="n">
        <v>0.378</v>
      </c>
      <c r="D6" t="n">
        <v>0.306</v>
      </c>
      <c r="E6" t="n">
        <v>0.297</v>
      </c>
    </row>
    <row r="7">
      <c r="A7" t="n">
        <v>90</v>
      </c>
      <c r="B7" t="n">
        <v>0.54</v>
      </c>
      <c r="C7" t="n">
        <v>0.42</v>
      </c>
      <c r="D7" t="n">
        <v>0.34</v>
      </c>
      <c r="E7" t="n">
        <v>0.33</v>
      </c>
    </row>
    <row r="8">
      <c r="A8" t="n">
        <v>110</v>
      </c>
      <c r="B8" t="n">
        <v>0.6102</v>
      </c>
      <c r="C8" t="n">
        <v>0.4746</v>
      </c>
      <c r="D8" t="n">
        <v>0.3842</v>
      </c>
      <c r="E8" t="n">
        <v>0.3729</v>
      </c>
    </row>
    <row r="9">
      <c r="A9" t="n">
        <v>130</v>
      </c>
      <c r="B9" t="n">
        <v>0.648</v>
      </c>
      <c r="C9" t="n">
        <v>0.504</v>
      </c>
      <c r="D9" t="n">
        <v>0.408</v>
      </c>
      <c r="E9" t="n">
        <v>0.396</v>
      </c>
    </row>
    <row r="10">
      <c r="A10" t="n">
        <v>150</v>
      </c>
      <c r="B10" t="n">
        <v>0.6912</v>
      </c>
      <c r="C10" t="n">
        <v>0.5376</v>
      </c>
      <c r="D10" t="n">
        <v>0.4352</v>
      </c>
      <c r="E10" t="n">
        <v>0.4224</v>
      </c>
    </row>
    <row r="11">
      <c r="A11" t="n">
        <v>180</v>
      </c>
      <c r="B11" t="n">
        <v>0.756</v>
      </c>
      <c r="C11" t="n">
        <v>0.588</v>
      </c>
      <c r="D11" t="n">
        <v>0.476</v>
      </c>
      <c r="E11" t="n">
        <v>0.462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2026-04-21T13:12:57Z</dcterms:created>
  <dcterms:modified xsi:type="dcterms:W3CDTF">2026-04-21T13:12:57Z</dcterms:modified>
</cp:coreProperties>
</file>